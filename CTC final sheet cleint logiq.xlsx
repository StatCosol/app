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tatc\OneDrive\Desktop\"/>
    </mc:Choice>
  </mc:AlternateContent>
  <xr:revisionPtr revIDLastSave="0" documentId="13_ncr:1_{EFC37691-B8E0-4EE1-A31B-4C0FBE8AF6C3}" xr6:coauthVersionLast="47" xr6:coauthVersionMax="47" xr10:uidLastSave="{00000000-0000-0000-0000-000000000000}"/>
  <workbookProtection workbookAlgorithmName="SHA-512" workbookHashValue="OBxwh8djU7god8Sg/dMVrDNGJ9H/BBo2VDBwkLApzO4PQAczNOv4HqA+X2O+4g+DsCc+RRgaTZoPmrIIGQr9rg==" workbookSaltValue="ssEH7TUUoa9tMMc/laQmzQ==" workbookSpinCount="100000" lockStructure="1"/>
  <bookViews>
    <workbookView xWindow="-108" yWindow="-108" windowWidth="23256" windowHeight="12456" xr2:uid="{00000000-000D-0000-FFFF-FFFF00000000}"/>
  </bookViews>
  <sheets>
    <sheet name="Jan 26-Payroll" sheetId="3" r:id="rId1"/>
    <sheet name="ctc" sheetId="2" r:id="rId2"/>
    <sheet name="Parameters" sheetId="1" r:id="rId3"/>
    <sheet name="compliance rules" sheetId="4" r:id="rId4"/>
    <sheet name="pay matrix" sheetId="5" r:id="rId5"/>
  </sheets>
  <definedNames>
    <definedName name="ATTENDANCE_BONUS">Parameters!$B$8</definedName>
    <definedName name="BASIC_CAP">Parameters!$B$5</definedName>
    <definedName name="BASIC_INCREMENT_RATE">Parameters!$B$6</definedName>
    <definedName name="BASIC_MIN_WAGE_CUTOFF">Parameters!$B$4</definedName>
    <definedName name="BONUS_LIMIT">Parameters!$B$7</definedName>
    <definedName name="CONVEYANCE_MAX">Parameters!#REF!</definedName>
    <definedName name="ESIC_EMP_RATE">Parameters!$B$12</definedName>
    <definedName name="ESIC_EMPR_RATE">Parameters!$B$13</definedName>
    <definedName name="ESIC_LIMIT">Parameters!$B$11</definedName>
    <definedName name="PF_EMP_RATE">Parameters!$B$9</definedName>
    <definedName name="PF_EMPR_RATE">Parameters!$B$10</definedName>
    <definedName name="WASHING_MAX">Parameters!#REF!</definedName>
  </definedNames>
  <calcPr calcId="191029"/>
</workbook>
</file>

<file path=xl/calcChain.xml><?xml version="1.0" encoding="utf-8"?>
<calcChain xmlns="http://schemas.openxmlformats.org/spreadsheetml/2006/main">
  <c r="Q3" i="3" l="1"/>
  <c r="Q4" i="3"/>
  <c r="Q5" i="3"/>
  <c r="Q6" i="3"/>
  <c r="Q7" i="3"/>
  <c r="Q8" i="3"/>
  <c r="Q9" i="3"/>
  <c r="Q10" i="3"/>
  <c r="Q11" i="3"/>
  <c r="Q12" i="3"/>
  <c r="Q13" i="3"/>
  <c r="Q14" i="3"/>
  <c r="Q15" i="3"/>
  <c r="Q16" i="3"/>
  <c r="Q17" i="3"/>
  <c r="Q18" i="3"/>
  <c r="Q19" i="3"/>
  <c r="Q20" i="3"/>
  <c r="Q21" i="3"/>
  <c r="Q22" i="3"/>
  <c r="Q23" i="3"/>
  <c r="Q24" i="3"/>
  <c r="Q2" i="3"/>
  <c r="N25" i="3"/>
  <c r="T9" i="2"/>
  <c r="T16" i="2"/>
  <c r="T17" i="2"/>
  <c r="T22" i="2"/>
  <c r="P3" i="2"/>
  <c r="P4" i="2"/>
  <c r="P5" i="2"/>
  <c r="P6" i="2"/>
  <c r="P7" i="2"/>
  <c r="P8" i="2"/>
  <c r="P9" i="2"/>
  <c r="P10" i="2"/>
  <c r="P11" i="2"/>
  <c r="P12" i="2"/>
  <c r="P13" i="2"/>
  <c r="P14" i="2"/>
  <c r="P15" i="2"/>
  <c r="P16" i="2"/>
  <c r="P17" i="2"/>
  <c r="P18" i="2"/>
  <c r="P19" i="2"/>
  <c r="P20" i="2"/>
  <c r="P21" i="2"/>
  <c r="P22" i="2"/>
  <c r="P23" i="2"/>
  <c r="P24" i="2"/>
  <c r="O3" i="2"/>
  <c r="O4" i="2"/>
  <c r="O5" i="2"/>
  <c r="O6" i="2"/>
  <c r="O7" i="2"/>
  <c r="O8" i="2"/>
  <c r="O9" i="2"/>
  <c r="O10" i="2"/>
  <c r="O11" i="2"/>
  <c r="O12" i="2"/>
  <c r="O13" i="2"/>
  <c r="O14" i="2"/>
  <c r="O15" i="2"/>
  <c r="O16" i="2"/>
  <c r="O17" i="2"/>
  <c r="O18" i="2"/>
  <c r="O19" i="2"/>
  <c r="O20" i="2"/>
  <c r="O21" i="2"/>
  <c r="O22" i="2"/>
  <c r="O23" i="2"/>
  <c r="O24" i="2"/>
  <c r="N3" i="2"/>
  <c r="N4" i="2"/>
  <c r="N5" i="2"/>
  <c r="N6" i="2"/>
  <c r="N7" i="2"/>
  <c r="N8" i="2"/>
  <c r="N9" i="2"/>
  <c r="N10" i="2"/>
  <c r="N11" i="2"/>
  <c r="N12" i="2"/>
  <c r="N13" i="2"/>
  <c r="N14" i="2"/>
  <c r="N15" i="2"/>
  <c r="N16" i="2"/>
  <c r="N17" i="2"/>
  <c r="N18" i="2"/>
  <c r="N19" i="2"/>
  <c r="N20" i="2"/>
  <c r="N21" i="2"/>
  <c r="N22" i="2"/>
  <c r="N23" i="2"/>
  <c r="N24" i="2"/>
  <c r="N2" i="2"/>
  <c r="O2" i="2" s="1"/>
  <c r="P2" i="2" s="1"/>
  <c r="Z9" i="2"/>
  <c r="Z16" i="2"/>
  <c r="Z17" i="2"/>
  <c r="Z22" i="2"/>
  <c r="Z9" i="3"/>
  <c r="Z16" i="3"/>
  <c r="Z17" i="3"/>
  <c r="Z22" i="3"/>
  <c r="U15" i="2"/>
  <c r="U18" i="2"/>
  <c r="U19" i="2"/>
  <c r="U20" i="2"/>
  <c r="U21" i="2"/>
  <c r="J301" i="3"/>
  <c r="I301" i="3"/>
  <c r="J300" i="3"/>
  <c r="I300" i="3"/>
  <c r="J299" i="3"/>
  <c r="I299" i="3"/>
  <c r="J298" i="3"/>
  <c r="I298" i="3"/>
  <c r="J297" i="3"/>
  <c r="I297" i="3"/>
  <c r="J296" i="3"/>
  <c r="I296" i="3"/>
  <c r="J295" i="3"/>
  <c r="I295" i="3"/>
  <c r="J294" i="3"/>
  <c r="I294" i="3"/>
  <c r="J293" i="3"/>
  <c r="I293" i="3"/>
  <c r="J292" i="3"/>
  <c r="I292" i="3"/>
  <c r="J291" i="3"/>
  <c r="I291" i="3"/>
  <c r="J290" i="3"/>
  <c r="I290" i="3"/>
  <c r="J289" i="3"/>
  <c r="I289" i="3"/>
  <c r="J288" i="3"/>
  <c r="I288" i="3"/>
  <c r="J287" i="3"/>
  <c r="I287" i="3"/>
  <c r="J286" i="3"/>
  <c r="I286" i="3"/>
  <c r="J285" i="3"/>
  <c r="I285" i="3"/>
  <c r="J284" i="3"/>
  <c r="I284" i="3"/>
  <c r="J283" i="3"/>
  <c r="I283" i="3"/>
  <c r="J282" i="3"/>
  <c r="I282" i="3"/>
  <c r="J281" i="3"/>
  <c r="I281" i="3"/>
  <c r="J280" i="3"/>
  <c r="I280" i="3"/>
  <c r="J279" i="3"/>
  <c r="I279" i="3"/>
  <c r="J278" i="3"/>
  <c r="I278" i="3"/>
  <c r="J277" i="3"/>
  <c r="I277" i="3"/>
  <c r="J276" i="3"/>
  <c r="I276" i="3"/>
  <c r="J275" i="3"/>
  <c r="I275" i="3"/>
  <c r="J274" i="3"/>
  <c r="I274" i="3"/>
  <c r="J273" i="3"/>
  <c r="I273" i="3"/>
  <c r="J272" i="3"/>
  <c r="I272" i="3"/>
  <c r="J271" i="3"/>
  <c r="I271" i="3"/>
  <c r="J270" i="3"/>
  <c r="I270" i="3"/>
  <c r="J269" i="3"/>
  <c r="I269" i="3"/>
  <c r="J268" i="3"/>
  <c r="I268" i="3"/>
  <c r="J267" i="3"/>
  <c r="I267" i="3"/>
  <c r="J266" i="3"/>
  <c r="I266" i="3"/>
  <c r="J265" i="3"/>
  <c r="I265" i="3"/>
  <c r="J264" i="3"/>
  <c r="I264" i="3"/>
  <c r="J263" i="3"/>
  <c r="I263" i="3"/>
  <c r="J262" i="3"/>
  <c r="I262" i="3"/>
  <c r="J261" i="3"/>
  <c r="I261" i="3"/>
  <c r="J260" i="3"/>
  <c r="I260" i="3"/>
  <c r="J259" i="3"/>
  <c r="I259" i="3"/>
  <c r="J258" i="3"/>
  <c r="I258" i="3"/>
  <c r="J257" i="3"/>
  <c r="I257" i="3"/>
  <c r="J256" i="3"/>
  <c r="I256" i="3"/>
  <c r="J255" i="3"/>
  <c r="I255" i="3"/>
  <c r="J254" i="3"/>
  <c r="I254" i="3"/>
  <c r="J253" i="3"/>
  <c r="I253" i="3"/>
  <c r="J252" i="3"/>
  <c r="I252" i="3"/>
  <c r="J251" i="3"/>
  <c r="I251" i="3"/>
  <c r="J250" i="3"/>
  <c r="I250" i="3"/>
  <c r="J249" i="3"/>
  <c r="I249" i="3"/>
  <c r="J248" i="3"/>
  <c r="I248" i="3"/>
  <c r="J247" i="3"/>
  <c r="I247" i="3"/>
  <c r="J246" i="3"/>
  <c r="I246" i="3"/>
  <c r="J245" i="3"/>
  <c r="I245" i="3"/>
  <c r="J244" i="3"/>
  <c r="I244" i="3"/>
  <c r="J243" i="3"/>
  <c r="I243" i="3"/>
  <c r="J242" i="3"/>
  <c r="I242" i="3"/>
  <c r="J241" i="3"/>
  <c r="I241" i="3"/>
  <c r="J240" i="3"/>
  <c r="I240" i="3"/>
  <c r="J239" i="3"/>
  <c r="I239" i="3"/>
  <c r="J238" i="3"/>
  <c r="I238" i="3"/>
  <c r="J237" i="3"/>
  <c r="I237" i="3"/>
  <c r="J236" i="3"/>
  <c r="I236" i="3"/>
  <c r="J235" i="3"/>
  <c r="I235" i="3"/>
  <c r="J234" i="3"/>
  <c r="I234" i="3"/>
  <c r="J233" i="3"/>
  <c r="I233" i="3"/>
  <c r="J232" i="3"/>
  <c r="I232" i="3"/>
  <c r="J231" i="3"/>
  <c r="I231" i="3"/>
  <c r="J230" i="3"/>
  <c r="I230" i="3"/>
  <c r="J229" i="3"/>
  <c r="I229" i="3"/>
  <c r="J228" i="3"/>
  <c r="I228" i="3"/>
  <c r="J227" i="3"/>
  <c r="I227" i="3"/>
  <c r="J226" i="3"/>
  <c r="I226" i="3"/>
  <c r="J225" i="3"/>
  <c r="I225" i="3"/>
  <c r="J224" i="3"/>
  <c r="I224" i="3"/>
  <c r="J223" i="3"/>
  <c r="I223" i="3"/>
  <c r="J222" i="3"/>
  <c r="I222" i="3"/>
  <c r="J221" i="3"/>
  <c r="I221" i="3"/>
  <c r="J220" i="3"/>
  <c r="I220" i="3"/>
  <c r="J219" i="3"/>
  <c r="I219" i="3"/>
  <c r="J218" i="3"/>
  <c r="I218" i="3"/>
  <c r="J217" i="3"/>
  <c r="I217" i="3"/>
  <c r="J216" i="3"/>
  <c r="I216" i="3"/>
  <c r="J215" i="3"/>
  <c r="I215" i="3"/>
  <c r="J214" i="3"/>
  <c r="I214" i="3"/>
  <c r="J213" i="3"/>
  <c r="I213" i="3"/>
  <c r="J212" i="3"/>
  <c r="I212" i="3"/>
  <c r="J211" i="3"/>
  <c r="I211" i="3"/>
  <c r="J210" i="3"/>
  <c r="I210" i="3"/>
  <c r="J209" i="3"/>
  <c r="I209" i="3"/>
  <c r="J208" i="3"/>
  <c r="I208" i="3"/>
  <c r="J207" i="3"/>
  <c r="I207" i="3"/>
  <c r="J206" i="3"/>
  <c r="I206" i="3"/>
  <c r="J205" i="3"/>
  <c r="I205" i="3"/>
  <c r="J204" i="3"/>
  <c r="I204" i="3"/>
  <c r="J203" i="3"/>
  <c r="I203" i="3"/>
  <c r="J202" i="3"/>
  <c r="I202" i="3"/>
  <c r="J201" i="3"/>
  <c r="I201" i="3"/>
  <c r="J200" i="3"/>
  <c r="I200" i="3"/>
  <c r="J199" i="3"/>
  <c r="I199" i="3"/>
  <c r="J198" i="3"/>
  <c r="I198" i="3"/>
  <c r="J197" i="3"/>
  <c r="I197" i="3"/>
  <c r="J196" i="3"/>
  <c r="I196" i="3"/>
  <c r="J195" i="3"/>
  <c r="I195" i="3"/>
  <c r="J194" i="3"/>
  <c r="I194" i="3"/>
  <c r="J193" i="3"/>
  <c r="I193" i="3"/>
  <c r="J192" i="3"/>
  <c r="I192" i="3"/>
  <c r="J191" i="3"/>
  <c r="I191" i="3"/>
  <c r="J190" i="3"/>
  <c r="I190" i="3"/>
  <c r="J189" i="3"/>
  <c r="I189" i="3"/>
  <c r="J188" i="3"/>
  <c r="I188" i="3"/>
  <c r="J187" i="3"/>
  <c r="I187" i="3"/>
  <c r="J186" i="3"/>
  <c r="I186" i="3"/>
  <c r="J185" i="3"/>
  <c r="I185" i="3"/>
  <c r="J184" i="3"/>
  <c r="I184" i="3"/>
  <c r="J183" i="3"/>
  <c r="I183" i="3"/>
  <c r="J182" i="3"/>
  <c r="I182" i="3"/>
  <c r="J181" i="3"/>
  <c r="I181" i="3"/>
  <c r="J180" i="3"/>
  <c r="I180" i="3"/>
  <c r="J179" i="3"/>
  <c r="I179" i="3"/>
  <c r="J178" i="3"/>
  <c r="I178" i="3"/>
  <c r="J177" i="3"/>
  <c r="I177" i="3"/>
  <c r="J176" i="3"/>
  <c r="I176" i="3"/>
  <c r="J175" i="3"/>
  <c r="I175" i="3"/>
  <c r="J174" i="3"/>
  <c r="I174" i="3"/>
  <c r="J173" i="3"/>
  <c r="I173" i="3"/>
  <c r="J172" i="3"/>
  <c r="I172" i="3"/>
  <c r="J171" i="3"/>
  <c r="I171" i="3"/>
  <c r="J170" i="3"/>
  <c r="I170" i="3"/>
  <c r="J169" i="3"/>
  <c r="I169" i="3"/>
  <c r="J168" i="3"/>
  <c r="I168" i="3"/>
  <c r="J167" i="3"/>
  <c r="I167" i="3"/>
  <c r="J166" i="3"/>
  <c r="I166" i="3"/>
  <c r="J165" i="3"/>
  <c r="I165" i="3"/>
  <c r="J164" i="3"/>
  <c r="I164" i="3"/>
  <c r="J163" i="3"/>
  <c r="I163" i="3"/>
  <c r="J162" i="3"/>
  <c r="I162" i="3"/>
  <c r="J161" i="3"/>
  <c r="I161" i="3"/>
  <c r="J160" i="3"/>
  <c r="I160" i="3"/>
  <c r="J159" i="3"/>
  <c r="I159" i="3"/>
  <c r="J158" i="3"/>
  <c r="I158" i="3"/>
  <c r="J157" i="3"/>
  <c r="I157" i="3"/>
  <c r="J156" i="3"/>
  <c r="I156" i="3"/>
  <c r="J155" i="3"/>
  <c r="I155" i="3"/>
  <c r="J154" i="3"/>
  <c r="I154" i="3"/>
  <c r="J153" i="3"/>
  <c r="I153" i="3"/>
  <c r="J152" i="3"/>
  <c r="I152" i="3"/>
  <c r="J151" i="3"/>
  <c r="I151" i="3"/>
  <c r="J150" i="3"/>
  <c r="I150" i="3"/>
  <c r="J149" i="3"/>
  <c r="I149" i="3"/>
  <c r="J148" i="3"/>
  <c r="I148" i="3"/>
  <c r="J147" i="3"/>
  <c r="I147" i="3"/>
  <c r="J146" i="3"/>
  <c r="I146" i="3"/>
  <c r="J145" i="3"/>
  <c r="I145" i="3"/>
  <c r="J144" i="3"/>
  <c r="I144" i="3"/>
  <c r="J143" i="3"/>
  <c r="I143" i="3"/>
  <c r="J142" i="3"/>
  <c r="I142" i="3"/>
  <c r="J141" i="3"/>
  <c r="I141" i="3"/>
  <c r="J140" i="3"/>
  <c r="I140" i="3"/>
  <c r="J139" i="3"/>
  <c r="I139" i="3"/>
  <c r="J138" i="3"/>
  <c r="I138" i="3"/>
  <c r="J137" i="3"/>
  <c r="I137" i="3"/>
  <c r="J136" i="3"/>
  <c r="I136" i="3"/>
  <c r="J135" i="3"/>
  <c r="I135" i="3"/>
  <c r="J134" i="3"/>
  <c r="I134" i="3"/>
  <c r="J133" i="3"/>
  <c r="I133" i="3"/>
  <c r="J132" i="3"/>
  <c r="I132" i="3"/>
  <c r="J131" i="3"/>
  <c r="I131" i="3"/>
  <c r="J130" i="3"/>
  <c r="I130" i="3"/>
  <c r="J129" i="3"/>
  <c r="I129" i="3"/>
  <c r="J128" i="3"/>
  <c r="I128" i="3"/>
  <c r="J127" i="3"/>
  <c r="I127" i="3"/>
  <c r="J126" i="3"/>
  <c r="I126" i="3"/>
  <c r="J125" i="3"/>
  <c r="I125" i="3"/>
  <c r="J124" i="3"/>
  <c r="I124" i="3"/>
  <c r="J123" i="3"/>
  <c r="I123" i="3"/>
  <c r="J122" i="3"/>
  <c r="I122" i="3"/>
  <c r="J121" i="3"/>
  <c r="I121" i="3"/>
  <c r="J120" i="3"/>
  <c r="I120" i="3"/>
  <c r="J119" i="3"/>
  <c r="I119" i="3"/>
  <c r="J118" i="3"/>
  <c r="I118" i="3"/>
  <c r="J117" i="3"/>
  <c r="I117" i="3"/>
  <c r="J116" i="3"/>
  <c r="I116" i="3"/>
  <c r="J115" i="3"/>
  <c r="I115" i="3"/>
  <c r="J114" i="3"/>
  <c r="I114" i="3"/>
  <c r="J113" i="3"/>
  <c r="I113" i="3"/>
  <c r="J112" i="3"/>
  <c r="I112" i="3"/>
  <c r="J111" i="3"/>
  <c r="I111" i="3"/>
  <c r="J110" i="3"/>
  <c r="I110" i="3"/>
  <c r="J109" i="3"/>
  <c r="I109" i="3"/>
  <c r="J108" i="3"/>
  <c r="I108" i="3"/>
  <c r="J107" i="3"/>
  <c r="I107" i="3"/>
  <c r="J106" i="3"/>
  <c r="I106" i="3"/>
  <c r="J105" i="3"/>
  <c r="I105" i="3"/>
  <c r="J104" i="3"/>
  <c r="I104" i="3"/>
  <c r="J103" i="3"/>
  <c r="I103" i="3"/>
  <c r="J102" i="3"/>
  <c r="I102" i="3"/>
  <c r="J101" i="3"/>
  <c r="I101" i="3"/>
  <c r="J100" i="3"/>
  <c r="I100" i="3"/>
  <c r="J99" i="3"/>
  <c r="I99" i="3"/>
  <c r="J98" i="3"/>
  <c r="I98" i="3"/>
  <c r="J97" i="3"/>
  <c r="I97" i="3"/>
  <c r="J96" i="3"/>
  <c r="I96" i="3"/>
  <c r="J95" i="3"/>
  <c r="I95" i="3"/>
  <c r="J94" i="3"/>
  <c r="I94" i="3"/>
  <c r="J93" i="3"/>
  <c r="I93" i="3"/>
  <c r="J92" i="3"/>
  <c r="I92" i="3"/>
  <c r="J91" i="3"/>
  <c r="I91" i="3"/>
  <c r="J90" i="3"/>
  <c r="I90" i="3"/>
  <c r="J89" i="3"/>
  <c r="I89" i="3"/>
  <c r="J88" i="3"/>
  <c r="I88" i="3"/>
  <c r="J87" i="3"/>
  <c r="I87" i="3"/>
  <c r="J86" i="3"/>
  <c r="I86" i="3"/>
  <c r="J85" i="3"/>
  <c r="I85" i="3"/>
  <c r="J84" i="3"/>
  <c r="I84" i="3"/>
  <c r="J83" i="3"/>
  <c r="I83" i="3"/>
  <c r="J82" i="3"/>
  <c r="I82" i="3"/>
  <c r="J81" i="3"/>
  <c r="I81" i="3"/>
  <c r="J80" i="3"/>
  <c r="I80" i="3"/>
  <c r="J79" i="3"/>
  <c r="I79" i="3"/>
  <c r="J78" i="3"/>
  <c r="I78" i="3"/>
  <c r="J77" i="3"/>
  <c r="I77" i="3"/>
  <c r="J76" i="3"/>
  <c r="I76" i="3"/>
  <c r="J75" i="3"/>
  <c r="I75" i="3"/>
  <c r="J74" i="3"/>
  <c r="I74" i="3"/>
  <c r="J73" i="3"/>
  <c r="I73" i="3"/>
  <c r="J72" i="3"/>
  <c r="I72" i="3"/>
  <c r="J71" i="3"/>
  <c r="I71" i="3"/>
  <c r="J70" i="3"/>
  <c r="I70" i="3"/>
  <c r="J69" i="3"/>
  <c r="I69" i="3"/>
  <c r="J68" i="3"/>
  <c r="I68" i="3"/>
  <c r="J67" i="3"/>
  <c r="I67" i="3"/>
  <c r="J66" i="3"/>
  <c r="I66" i="3"/>
  <c r="J65" i="3"/>
  <c r="I65" i="3"/>
  <c r="J64" i="3"/>
  <c r="I64" i="3"/>
  <c r="J63" i="3"/>
  <c r="I63" i="3"/>
  <c r="J62" i="3"/>
  <c r="I62" i="3"/>
  <c r="J61" i="3"/>
  <c r="I61" i="3"/>
  <c r="J60" i="3"/>
  <c r="I60" i="3"/>
  <c r="J59" i="3"/>
  <c r="I59" i="3"/>
  <c r="J58" i="3"/>
  <c r="I58" i="3"/>
  <c r="J57" i="3"/>
  <c r="I57" i="3"/>
  <c r="J56" i="3"/>
  <c r="I56" i="3"/>
  <c r="J55" i="3"/>
  <c r="I55" i="3"/>
  <c r="J54" i="3"/>
  <c r="I54" i="3"/>
  <c r="J53" i="3"/>
  <c r="I53" i="3"/>
  <c r="J52" i="3"/>
  <c r="I52" i="3"/>
  <c r="J51" i="3"/>
  <c r="I51" i="3"/>
  <c r="J50" i="3"/>
  <c r="I50" i="3"/>
  <c r="J49" i="3"/>
  <c r="I49" i="3"/>
  <c r="J48" i="3"/>
  <c r="I48" i="3"/>
  <c r="J47" i="3"/>
  <c r="I47" i="3"/>
  <c r="J46" i="3"/>
  <c r="I46" i="3"/>
  <c r="J45" i="3"/>
  <c r="I45" i="3"/>
  <c r="J44" i="3"/>
  <c r="I44" i="3"/>
  <c r="J43" i="3"/>
  <c r="I43" i="3"/>
  <c r="J42" i="3"/>
  <c r="I42" i="3"/>
  <c r="J41" i="3"/>
  <c r="I41" i="3"/>
  <c r="J40" i="3"/>
  <c r="I40" i="3"/>
  <c r="J39" i="3"/>
  <c r="I39" i="3"/>
  <c r="J38" i="3"/>
  <c r="I38" i="3"/>
  <c r="J37" i="3"/>
  <c r="I37" i="3"/>
  <c r="J36" i="3"/>
  <c r="I36" i="3"/>
  <c r="J35" i="3"/>
  <c r="I35" i="3"/>
  <c r="J34" i="3"/>
  <c r="I34" i="3"/>
  <c r="J33" i="3"/>
  <c r="I33" i="3"/>
  <c r="J32" i="3"/>
  <c r="I32" i="3"/>
  <c r="J31" i="3"/>
  <c r="I31" i="3"/>
  <c r="J30" i="3"/>
  <c r="I30" i="3"/>
  <c r="J29" i="3"/>
  <c r="I29" i="3"/>
  <c r="J28" i="3"/>
  <c r="I28" i="3"/>
  <c r="J27" i="3"/>
  <c r="I27" i="3"/>
  <c r="J26" i="3"/>
  <c r="I26" i="3"/>
  <c r="I25" i="3"/>
  <c r="G25" i="3"/>
  <c r="M24" i="3"/>
  <c r="J24" i="3"/>
  <c r="I24" i="3"/>
  <c r="M23" i="3"/>
  <c r="J23" i="3"/>
  <c r="I23" i="3"/>
  <c r="M22" i="3"/>
  <c r="J22" i="3"/>
  <c r="M21" i="3"/>
  <c r="J21" i="3"/>
  <c r="AA21" i="3" s="1"/>
  <c r="I21" i="3"/>
  <c r="Z21" i="3" s="1"/>
  <c r="M20" i="3"/>
  <c r="J20" i="3"/>
  <c r="AA20" i="3" s="1"/>
  <c r="I20" i="3"/>
  <c r="Z20" i="3" s="1"/>
  <c r="M19" i="3"/>
  <c r="J19" i="3"/>
  <c r="AA19" i="3" s="1"/>
  <c r="I19" i="3"/>
  <c r="Z19" i="3" s="1"/>
  <c r="M18" i="3"/>
  <c r="J18" i="3"/>
  <c r="AA18" i="3" s="1"/>
  <c r="I18" i="3"/>
  <c r="Z18" i="3" s="1"/>
  <c r="M17" i="3"/>
  <c r="S17" i="3" s="1"/>
  <c r="T17" i="3" s="1"/>
  <c r="J17" i="3"/>
  <c r="M16" i="3"/>
  <c r="J16" i="3"/>
  <c r="M15" i="3"/>
  <c r="J15" i="3"/>
  <c r="AA15" i="3" s="1"/>
  <c r="I15" i="3"/>
  <c r="Z15" i="3" s="1"/>
  <c r="M14" i="3"/>
  <c r="J14" i="3"/>
  <c r="I14" i="3"/>
  <c r="M13" i="3"/>
  <c r="J13" i="3"/>
  <c r="I13" i="3"/>
  <c r="M12" i="3"/>
  <c r="J12" i="3"/>
  <c r="I12" i="3"/>
  <c r="M11" i="3"/>
  <c r="J11" i="3"/>
  <c r="I11" i="3"/>
  <c r="M10" i="3"/>
  <c r="J10" i="3"/>
  <c r="I10" i="3"/>
  <c r="M9" i="3"/>
  <c r="J9" i="3"/>
  <c r="M8" i="3"/>
  <c r="J8" i="3"/>
  <c r="I8" i="3"/>
  <c r="M7" i="3"/>
  <c r="J7" i="3"/>
  <c r="I7" i="3"/>
  <c r="M6" i="3"/>
  <c r="J6" i="3"/>
  <c r="I6" i="3"/>
  <c r="M5" i="3"/>
  <c r="J5" i="3"/>
  <c r="I5" i="3"/>
  <c r="M4" i="3"/>
  <c r="J4" i="3"/>
  <c r="I4" i="3"/>
  <c r="M3" i="3"/>
  <c r="J3" i="3"/>
  <c r="I3" i="3"/>
  <c r="M2" i="3"/>
  <c r="J2" i="3"/>
  <c r="I2" i="3"/>
  <c r="G25" i="2"/>
  <c r="J25" i="2" s="1"/>
  <c r="AD301" i="2"/>
  <c r="J301" i="2"/>
  <c r="I301" i="2"/>
  <c r="AD300" i="2"/>
  <c r="J300" i="2"/>
  <c r="I300" i="2"/>
  <c r="AD299" i="2"/>
  <c r="J299" i="2"/>
  <c r="I299" i="2"/>
  <c r="AD298" i="2"/>
  <c r="J298" i="2"/>
  <c r="I298" i="2"/>
  <c r="AD297" i="2"/>
  <c r="J297" i="2"/>
  <c r="I297" i="2"/>
  <c r="AD296" i="2"/>
  <c r="J296" i="2"/>
  <c r="I296" i="2"/>
  <c r="AD295" i="2"/>
  <c r="J295" i="2"/>
  <c r="I295" i="2"/>
  <c r="AD294" i="2"/>
  <c r="J294" i="2"/>
  <c r="I294" i="2"/>
  <c r="AD293" i="2"/>
  <c r="J293" i="2"/>
  <c r="I293" i="2"/>
  <c r="AD292" i="2"/>
  <c r="J292" i="2"/>
  <c r="I292" i="2"/>
  <c r="AD291" i="2"/>
  <c r="J291" i="2"/>
  <c r="I291" i="2"/>
  <c r="AD290" i="2"/>
  <c r="J290" i="2"/>
  <c r="I290" i="2"/>
  <c r="AD289" i="2"/>
  <c r="J289" i="2"/>
  <c r="I289" i="2"/>
  <c r="AD288" i="2"/>
  <c r="J288" i="2"/>
  <c r="I288" i="2"/>
  <c r="AD287" i="2"/>
  <c r="J287" i="2"/>
  <c r="I287" i="2"/>
  <c r="AD286" i="2"/>
  <c r="J286" i="2"/>
  <c r="I286" i="2"/>
  <c r="AD285" i="2"/>
  <c r="J285" i="2"/>
  <c r="I285" i="2"/>
  <c r="AD284" i="2"/>
  <c r="J284" i="2"/>
  <c r="I284" i="2"/>
  <c r="AD283" i="2"/>
  <c r="J283" i="2"/>
  <c r="I283" i="2"/>
  <c r="AD282" i="2"/>
  <c r="J282" i="2"/>
  <c r="I282" i="2"/>
  <c r="AD281" i="2"/>
  <c r="J281" i="2"/>
  <c r="I281" i="2"/>
  <c r="AD280" i="2"/>
  <c r="J280" i="2"/>
  <c r="I280" i="2"/>
  <c r="AD279" i="2"/>
  <c r="J279" i="2"/>
  <c r="I279" i="2"/>
  <c r="AD278" i="2"/>
  <c r="J278" i="2"/>
  <c r="I278" i="2"/>
  <c r="AD277" i="2"/>
  <c r="J277" i="2"/>
  <c r="I277" i="2"/>
  <c r="AD276" i="2"/>
  <c r="J276" i="2"/>
  <c r="I276" i="2"/>
  <c r="AD275" i="2"/>
  <c r="J275" i="2"/>
  <c r="I275" i="2"/>
  <c r="AD274" i="2"/>
  <c r="J274" i="2"/>
  <c r="I274" i="2"/>
  <c r="AD273" i="2"/>
  <c r="J273" i="2"/>
  <c r="I273" i="2"/>
  <c r="AD272" i="2"/>
  <c r="J272" i="2"/>
  <c r="I272" i="2"/>
  <c r="AD271" i="2"/>
  <c r="J271" i="2"/>
  <c r="I271" i="2"/>
  <c r="AD270" i="2"/>
  <c r="J270" i="2"/>
  <c r="I270" i="2"/>
  <c r="AD269" i="2"/>
  <c r="J269" i="2"/>
  <c r="I269" i="2"/>
  <c r="AD268" i="2"/>
  <c r="J268" i="2"/>
  <c r="I268" i="2"/>
  <c r="AD267" i="2"/>
  <c r="J267" i="2"/>
  <c r="I267" i="2"/>
  <c r="AD266" i="2"/>
  <c r="J266" i="2"/>
  <c r="I266" i="2"/>
  <c r="AD265" i="2"/>
  <c r="J265" i="2"/>
  <c r="I265" i="2"/>
  <c r="AD264" i="2"/>
  <c r="J264" i="2"/>
  <c r="I264" i="2"/>
  <c r="AD263" i="2"/>
  <c r="J263" i="2"/>
  <c r="I263" i="2"/>
  <c r="AD262" i="2"/>
  <c r="J262" i="2"/>
  <c r="I262" i="2"/>
  <c r="AD261" i="2"/>
  <c r="J261" i="2"/>
  <c r="I261" i="2"/>
  <c r="AD260" i="2"/>
  <c r="J260" i="2"/>
  <c r="I260" i="2"/>
  <c r="AD259" i="2"/>
  <c r="J259" i="2"/>
  <c r="I259" i="2"/>
  <c r="AD258" i="2"/>
  <c r="J258" i="2"/>
  <c r="I258" i="2"/>
  <c r="AD257" i="2"/>
  <c r="J257" i="2"/>
  <c r="I257" i="2"/>
  <c r="AD256" i="2"/>
  <c r="J256" i="2"/>
  <c r="I256" i="2"/>
  <c r="AD255" i="2"/>
  <c r="J255" i="2"/>
  <c r="I255" i="2"/>
  <c r="AD254" i="2"/>
  <c r="J254" i="2"/>
  <c r="I254" i="2"/>
  <c r="AD253" i="2"/>
  <c r="J253" i="2"/>
  <c r="I253" i="2"/>
  <c r="AD252" i="2"/>
  <c r="J252" i="2"/>
  <c r="I252" i="2"/>
  <c r="AD251" i="2"/>
  <c r="J251" i="2"/>
  <c r="I251" i="2"/>
  <c r="AD250" i="2"/>
  <c r="J250" i="2"/>
  <c r="I250" i="2"/>
  <c r="AD249" i="2"/>
  <c r="J249" i="2"/>
  <c r="I249" i="2"/>
  <c r="AD248" i="2"/>
  <c r="J248" i="2"/>
  <c r="I248" i="2"/>
  <c r="AD247" i="2"/>
  <c r="J247" i="2"/>
  <c r="I247" i="2"/>
  <c r="AD246" i="2"/>
  <c r="J246" i="2"/>
  <c r="I246" i="2"/>
  <c r="AD245" i="2"/>
  <c r="J245" i="2"/>
  <c r="I245" i="2"/>
  <c r="AD244" i="2"/>
  <c r="J244" i="2"/>
  <c r="I244" i="2"/>
  <c r="AD243" i="2"/>
  <c r="J243" i="2"/>
  <c r="I243" i="2"/>
  <c r="AD242" i="2"/>
  <c r="J242" i="2"/>
  <c r="I242" i="2"/>
  <c r="AD241" i="2"/>
  <c r="J241" i="2"/>
  <c r="I241" i="2"/>
  <c r="AD240" i="2"/>
  <c r="J240" i="2"/>
  <c r="I240" i="2"/>
  <c r="AD239" i="2"/>
  <c r="J239" i="2"/>
  <c r="I239" i="2"/>
  <c r="AD238" i="2"/>
  <c r="J238" i="2"/>
  <c r="I238" i="2"/>
  <c r="AD237" i="2"/>
  <c r="J237" i="2"/>
  <c r="I237" i="2"/>
  <c r="AD236" i="2"/>
  <c r="J236" i="2"/>
  <c r="I236" i="2"/>
  <c r="AD235" i="2"/>
  <c r="J235" i="2"/>
  <c r="I235" i="2"/>
  <c r="AD234" i="2"/>
  <c r="J234" i="2"/>
  <c r="I234" i="2"/>
  <c r="AD233" i="2"/>
  <c r="J233" i="2"/>
  <c r="I233" i="2"/>
  <c r="AD232" i="2"/>
  <c r="J232" i="2"/>
  <c r="I232" i="2"/>
  <c r="AD231" i="2"/>
  <c r="J231" i="2"/>
  <c r="I231" i="2"/>
  <c r="AD230" i="2"/>
  <c r="J230" i="2"/>
  <c r="I230" i="2"/>
  <c r="AD229" i="2"/>
  <c r="J229" i="2"/>
  <c r="I229" i="2"/>
  <c r="AD228" i="2"/>
  <c r="J228" i="2"/>
  <c r="I228" i="2"/>
  <c r="AD227" i="2"/>
  <c r="J227" i="2"/>
  <c r="I227" i="2"/>
  <c r="AD226" i="2"/>
  <c r="J226" i="2"/>
  <c r="I226" i="2"/>
  <c r="AD225" i="2"/>
  <c r="J225" i="2"/>
  <c r="I225" i="2"/>
  <c r="AD224" i="2"/>
  <c r="J224" i="2"/>
  <c r="I224" i="2"/>
  <c r="AD223" i="2"/>
  <c r="J223" i="2"/>
  <c r="I223" i="2"/>
  <c r="AD222" i="2"/>
  <c r="J222" i="2"/>
  <c r="I222" i="2"/>
  <c r="AD221" i="2"/>
  <c r="J221" i="2"/>
  <c r="I221" i="2"/>
  <c r="AD220" i="2"/>
  <c r="J220" i="2"/>
  <c r="I220" i="2"/>
  <c r="AD219" i="2"/>
  <c r="J219" i="2"/>
  <c r="I219" i="2"/>
  <c r="AD218" i="2"/>
  <c r="J218" i="2"/>
  <c r="I218" i="2"/>
  <c r="AD217" i="2"/>
  <c r="J217" i="2"/>
  <c r="I217" i="2"/>
  <c r="AD216" i="2"/>
  <c r="J216" i="2"/>
  <c r="I216" i="2"/>
  <c r="AD215" i="2"/>
  <c r="J215" i="2"/>
  <c r="I215" i="2"/>
  <c r="AD214" i="2"/>
  <c r="J214" i="2"/>
  <c r="I214" i="2"/>
  <c r="AD213" i="2"/>
  <c r="J213" i="2"/>
  <c r="I213" i="2"/>
  <c r="AD212" i="2"/>
  <c r="J212" i="2"/>
  <c r="I212" i="2"/>
  <c r="AD211" i="2"/>
  <c r="J211" i="2"/>
  <c r="I211" i="2"/>
  <c r="AD210" i="2"/>
  <c r="J210" i="2"/>
  <c r="I210" i="2"/>
  <c r="AD209" i="2"/>
  <c r="J209" i="2"/>
  <c r="I209" i="2"/>
  <c r="AD208" i="2"/>
  <c r="J208" i="2"/>
  <c r="I208" i="2"/>
  <c r="AD207" i="2"/>
  <c r="J207" i="2"/>
  <c r="I207" i="2"/>
  <c r="AD206" i="2"/>
  <c r="J206" i="2"/>
  <c r="I206" i="2"/>
  <c r="AD205" i="2"/>
  <c r="J205" i="2"/>
  <c r="I205" i="2"/>
  <c r="AD204" i="2"/>
  <c r="J204" i="2"/>
  <c r="I204" i="2"/>
  <c r="AD203" i="2"/>
  <c r="J203" i="2"/>
  <c r="I203" i="2"/>
  <c r="AD202" i="2"/>
  <c r="J202" i="2"/>
  <c r="I202" i="2"/>
  <c r="AD201" i="2"/>
  <c r="J201" i="2"/>
  <c r="I201" i="2"/>
  <c r="AD200" i="2"/>
  <c r="J200" i="2"/>
  <c r="I200" i="2"/>
  <c r="AD199" i="2"/>
  <c r="J199" i="2"/>
  <c r="I199" i="2"/>
  <c r="AD198" i="2"/>
  <c r="J198" i="2"/>
  <c r="I198" i="2"/>
  <c r="AD197" i="2"/>
  <c r="J197" i="2"/>
  <c r="I197" i="2"/>
  <c r="AD196" i="2"/>
  <c r="J196" i="2"/>
  <c r="I196" i="2"/>
  <c r="AD195" i="2"/>
  <c r="J195" i="2"/>
  <c r="I195" i="2"/>
  <c r="AD194" i="2"/>
  <c r="J194" i="2"/>
  <c r="I194" i="2"/>
  <c r="AD193" i="2"/>
  <c r="J193" i="2"/>
  <c r="I193" i="2"/>
  <c r="AD192" i="2"/>
  <c r="J192" i="2"/>
  <c r="I192" i="2"/>
  <c r="AD191" i="2"/>
  <c r="J191" i="2"/>
  <c r="I191" i="2"/>
  <c r="AD190" i="2"/>
  <c r="J190" i="2"/>
  <c r="I190" i="2"/>
  <c r="AD189" i="2"/>
  <c r="J189" i="2"/>
  <c r="I189" i="2"/>
  <c r="AD188" i="2"/>
  <c r="J188" i="2"/>
  <c r="I188" i="2"/>
  <c r="AD187" i="2"/>
  <c r="J187" i="2"/>
  <c r="I187" i="2"/>
  <c r="AD186" i="2"/>
  <c r="J186" i="2"/>
  <c r="I186" i="2"/>
  <c r="AD185" i="2"/>
  <c r="J185" i="2"/>
  <c r="I185" i="2"/>
  <c r="AD184" i="2"/>
  <c r="J184" i="2"/>
  <c r="I184" i="2"/>
  <c r="AD183" i="2"/>
  <c r="J183" i="2"/>
  <c r="I183" i="2"/>
  <c r="AD182" i="2"/>
  <c r="J182" i="2"/>
  <c r="I182" i="2"/>
  <c r="AD181" i="2"/>
  <c r="J181" i="2"/>
  <c r="I181" i="2"/>
  <c r="AD180" i="2"/>
  <c r="J180" i="2"/>
  <c r="I180" i="2"/>
  <c r="AD179" i="2"/>
  <c r="J179" i="2"/>
  <c r="I179" i="2"/>
  <c r="AD178" i="2"/>
  <c r="J178" i="2"/>
  <c r="I178" i="2"/>
  <c r="AD177" i="2"/>
  <c r="J177" i="2"/>
  <c r="I177" i="2"/>
  <c r="AD176" i="2"/>
  <c r="J176" i="2"/>
  <c r="I176" i="2"/>
  <c r="AD175" i="2"/>
  <c r="J175" i="2"/>
  <c r="I175" i="2"/>
  <c r="AD174" i="2"/>
  <c r="J174" i="2"/>
  <c r="I174" i="2"/>
  <c r="AD173" i="2"/>
  <c r="J173" i="2"/>
  <c r="I173" i="2"/>
  <c r="AD172" i="2"/>
  <c r="J172" i="2"/>
  <c r="I172" i="2"/>
  <c r="AD171" i="2"/>
  <c r="J171" i="2"/>
  <c r="I171" i="2"/>
  <c r="AD170" i="2"/>
  <c r="J170" i="2"/>
  <c r="I170" i="2"/>
  <c r="AD169" i="2"/>
  <c r="J169" i="2"/>
  <c r="I169" i="2"/>
  <c r="AD168" i="2"/>
  <c r="J168" i="2"/>
  <c r="I168" i="2"/>
  <c r="AD167" i="2"/>
  <c r="J167" i="2"/>
  <c r="I167" i="2"/>
  <c r="AD166" i="2"/>
  <c r="J166" i="2"/>
  <c r="I166" i="2"/>
  <c r="AD165" i="2"/>
  <c r="J165" i="2"/>
  <c r="I165" i="2"/>
  <c r="AD164" i="2"/>
  <c r="J164" i="2"/>
  <c r="I164" i="2"/>
  <c r="AD163" i="2"/>
  <c r="J163" i="2"/>
  <c r="I163" i="2"/>
  <c r="AD162" i="2"/>
  <c r="J162" i="2"/>
  <c r="I162" i="2"/>
  <c r="AD161" i="2"/>
  <c r="J161" i="2"/>
  <c r="I161" i="2"/>
  <c r="AD160" i="2"/>
  <c r="J160" i="2"/>
  <c r="I160" i="2"/>
  <c r="AD159" i="2"/>
  <c r="J159" i="2"/>
  <c r="I159" i="2"/>
  <c r="AD158" i="2"/>
  <c r="J158" i="2"/>
  <c r="I158" i="2"/>
  <c r="AD157" i="2"/>
  <c r="J157" i="2"/>
  <c r="I157" i="2"/>
  <c r="AD156" i="2"/>
  <c r="J156" i="2"/>
  <c r="I156" i="2"/>
  <c r="AD155" i="2"/>
  <c r="J155" i="2"/>
  <c r="I155" i="2"/>
  <c r="AD154" i="2"/>
  <c r="J154" i="2"/>
  <c r="I154" i="2"/>
  <c r="AD153" i="2"/>
  <c r="J153" i="2"/>
  <c r="I153" i="2"/>
  <c r="AD152" i="2"/>
  <c r="J152" i="2"/>
  <c r="I152" i="2"/>
  <c r="AD151" i="2"/>
  <c r="J151" i="2"/>
  <c r="I151" i="2"/>
  <c r="AD150" i="2"/>
  <c r="J150" i="2"/>
  <c r="I150" i="2"/>
  <c r="AD149" i="2"/>
  <c r="J149" i="2"/>
  <c r="I149" i="2"/>
  <c r="AD148" i="2"/>
  <c r="J148" i="2"/>
  <c r="I148" i="2"/>
  <c r="AD147" i="2"/>
  <c r="J147" i="2"/>
  <c r="I147" i="2"/>
  <c r="AD146" i="2"/>
  <c r="J146" i="2"/>
  <c r="I146" i="2"/>
  <c r="AD145" i="2"/>
  <c r="J145" i="2"/>
  <c r="I145" i="2"/>
  <c r="AD144" i="2"/>
  <c r="J144" i="2"/>
  <c r="I144" i="2"/>
  <c r="AD143" i="2"/>
  <c r="J143" i="2"/>
  <c r="I143" i="2"/>
  <c r="AD142" i="2"/>
  <c r="J142" i="2"/>
  <c r="I142" i="2"/>
  <c r="AD141" i="2"/>
  <c r="J141" i="2"/>
  <c r="I141" i="2"/>
  <c r="AD140" i="2"/>
  <c r="J140" i="2"/>
  <c r="I140" i="2"/>
  <c r="AD139" i="2"/>
  <c r="J139" i="2"/>
  <c r="I139" i="2"/>
  <c r="AD138" i="2"/>
  <c r="J138" i="2"/>
  <c r="I138" i="2"/>
  <c r="AD137" i="2"/>
  <c r="J137" i="2"/>
  <c r="I137" i="2"/>
  <c r="AD136" i="2"/>
  <c r="J136" i="2"/>
  <c r="I136" i="2"/>
  <c r="AD135" i="2"/>
  <c r="J135" i="2"/>
  <c r="I135" i="2"/>
  <c r="AD134" i="2"/>
  <c r="J134" i="2"/>
  <c r="I134" i="2"/>
  <c r="AD133" i="2"/>
  <c r="J133" i="2"/>
  <c r="I133" i="2"/>
  <c r="AD132" i="2"/>
  <c r="J132" i="2"/>
  <c r="I132" i="2"/>
  <c r="AD131" i="2"/>
  <c r="J131" i="2"/>
  <c r="I131" i="2"/>
  <c r="AD130" i="2"/>
  <c r="J130" i="2"/>
  <c r="I130" i="2"/>
  <c r="AD129" i="2"/>
  <c r="J129" i="2"/>
  <c r="I129" i="2"/>
  <c r="AD128" i="2"/>
  <c r="J128" i="2"/>
  <c r="I128" i="2"/>
  <c r="AD127" i="2"/>
  <c r="J127" i="2"/>
  <c r="I127" i="2"/>
  <c r="AD126" i="2"/>
  <c r="J126" i="2"/>
  <c r="I126" i="2"/>
  <c r="AD125" i="2"/>
  <c r="J125" i="2"/>
  <c r="I125" i="2"/>
  <c r="AD124" i="2"/>
  <c r="J124" i="2"/>
  <c r="I124" i="2"/>
  <c r="AD123" i="2"/>
  <c r="J123" i="2"/>
  <c r="I123" i="2"/>
  <c r="AD122" i="2"/>
  <c r="J122" i="2"/>
  <c r="I122" i="2"/>
  <c r="AD121" i="2"/>
  <c r="J121" i="2"/>
  <c r="I121" i="2"/>
  <c r="AD120" i="2"/>
  <c r="J120" i="2"/>
  <c r="I120" i="2"/>
  <c r="AD119" i="2"/>
  <c r="J119" i="2"/>
  <c r="I119" i="2"/>
  <c r="AD118" i="2"/>
  <c r="J118" i="2"/>
  <c r="I118" i="2"/>
  <c r="AD117" i="2"/>
  <c r="J117" i="2"/>
  <c r="I117" i="2"/>
  <c r="AD116" i="2"/>
  <c r="J116" i="2"/>
  <c r="I116" i="2"/>
  <c r="AD115" i="2"/>
  <c r="J115" i="2"/>
  <c r="I115" i="2"/>
  <c r="AD114" i="2"/>
  <c r="J114" i="2"/>
  <c r="I114" i="2"/>
  <c r="AD113" i="2"/>
  <c r="J113" i="2"/>
  <c r="I113" i="2"/>
  <c r="AD112" i="2"/>
  <c r="J112" i="2"/>
  <c r="I112" i="2"/>
  <c r="AD111" i="2"/>
  <c r="J111" i="2"/>
  <c r="I111" i="2"/>
  <c r="AD110" i="2"/>
  <c r="J110" i="2"/>
  <c r="I110" i="2"/>
  <c r="AD109" i="2"/>
  <c r="J109" i="2"/>
  <c r="I109" i="2"/>
  <c r="AD108" i="2"/>
  <c r="J108" i="2"/>
  <c r="I108" i="2"/>
  <c r="AD107" i="2"/>
  <c r="J107" i="2"/>
  <c r="I107" i="2"/>
  <c r="AD106" i="2"/>
  <c r="J106" i="2"/>
  <c r="I106" i="2"/>
  <c r="AD105" i="2"/>
  <c r="J105" i="2"/>
  <c r="I105" i="2"/>
  <c r="AD104" i="2"/>
  <c r="J104" i="2"/>
  <c r="I104" i="2"/>
  <c r="AD103" i="2"/>
  <c r="J103" i="2"/>
  <c r="I103" i="2"/>
  <c r="AD102" i="2"/>
  <c r="J102" i="2"/>
  <c r="I102" i="2"/>
  <c r="AD101" i="2"/>
  <c r="J101" i="2"/>
  <c r="I101" i="2"/>
  <c r="AD100" i="2"/>
  <c r="J100" i="2"/>
  <c r="I100" i="2"/>
  <c r="AD99" i="2"/>
  <c r="J99" i="2"/>
  <c r="I99" i="2"/>
  <c r="AD98" i="2"/>
  <c r="J98" i="2"/>
  <c r="I98" i="2"/>
  <c r="AD97" i="2"/>
  <c r="J97" i="2"/>
  <c r="I97" i="2"/>
  <c r="AD96" i="2"/>
  <c r="J96" i="2"/>
  <c r="I96" i="2"/>
  <c r="AD95" i="2"/>
  <c r="J95" i="2"/>
  <c r="I95" i="2"/>
  <c r="AD94" i="2"/>
  <c r="J94" i="2"/>
  <c r="I94" i="2"/>
  <c r="AD93" i="2"/>
  <c r="J93" i="2"/>
  <c r="I93" i="2"/>
  <c r="AD92" i="2"/>
  <c r="J92" i="2"/>
  <c r="I92" i="2"/>
  <c r="AD91" i="2"/>
  <c r="J91" i="2"/>
  <c r="I91" i="2"/>
  <c r="AD90" i="2"/>
  <c r="J90" i="2"/>
  <c r="I90" i="2"/>
  <c r="AD89" i="2"/>
  <c r="J89" i="2"/>
  <c r="I89" i="2"/>
  <c r="AD88" i="2"/>
  <c r="J88" i="2"/>
  <c r="I88" i="2"/>
  <c r="AD87" i="2"/>
  <c r="J87" i="2"/>
  <c r="I87" i="2"/>
  <c r="AD86" i="2"/>
  <c r="J86" i="2"/>
  <c r="I86" i="2"/>
  <c r="AD85" i="2"/>
  <c r="J85" i="2"/>
  <c r="I85" i="2"/>
  <c r="AD84" i="2"/>
  <c r="J84" i="2"/>
  <c r="I84" i="2"/>
  <c r="AD83" i="2"/>
  <c r="J83" i="2"/>
  <c r="I83" i="2"/>
  <c r="AD82" i="2"/>
  <c r="J82" i="2"/>
  <c r="I82" i="2"/>
  <c r="AD81" i="2"/>
  <c r="J81" i="2"/>
  <c r="I81" i="2"/>
  <c r="AD80" i="2"/>
  <c r="J80" i="2"/>
  <c r="I80" i="2"/>
  <c r="AD79" i="2"/>
  <c r="J79" i="2"/>
  <c r="I79" i="2"/>
  <c r="AD78" i="2"/>
  <c r="J78" i="2"/>
  <c r="I78" i="2"/>
  <c r="AD77" i="2"/>
  <c r="J77" i="2"/>
  <c r="I77" i="2"/>
  <c r="AD76" i="2"/>
  <c r="J76" i="2"/>
  <c r="I76" i="2"/>
  <c r="AD75" i="2"/>
  <c r="J75" i="2"/>
  <c r="I75" i="2"/>
  <c r="AD74" i="2"/>
  <c r="J74" i="2"/>
  <c r="I74" i="2"/>
  <c r="AD73" i="2"/>
  <c r="J73" i="2"/>
  <c r="I73" i="2"/>
  <c r="AD72" i="2"/>
  <c r="J72" i="2"/>
  <c r="I72" i="2"/>
  <c r="AD71" i="2"/>
  <c r="J71" i="2"/>
  <c r="I71" i="2"/>
  <c r="AD70" i="2"/>
  <c r="J70" i="2"/>
  <c r="I70" i="2"/>
  <c r="AD69" i="2"/>
  <c r="J69" i="2"/>
  <c r="I69" i="2"/>
  <c r="AD68" i="2"/>
  <c r="J68" i="2"/>
  <c r="I68" i="2"/>
  <c r="AD67" i="2"/>
  <c r="J67" i="2"/>
  <c r="I67" i="2"/>
  <c r="AD66" i="2"/>
  <c r="J66" i="2"/>
  <c r="I66" i="2"/>
  <c r="AD65" i="2"/>
  <c r="J65" i="2"/>
  <c r="I65" i="2"/>
  <c r="AD64" i="2"/>
  <c r="J64" i="2"/>
  <c r="I64" i="2"/>
  <c r="AD63" i="2"/>
  <c r="J63" i="2"/>
  <c r="I63" i="2"/>
  <c r="AD62" i="2"/>
  <c r="J62" i="2"/>
  <c r="I62" i="2"/>
  <c r="AD61" i="2"/>
  <c r="J61" i="2"/>
  <c r="I61" i="2"/>
  <c r="AD60" i="2"/>
  <c r="J60" i="2"/>
  <c r="I60" i="2"/>
  <c r="AD59" i="2"/>
  <c r="J59" i="2"/>
  <c r="I59" i="2"/>
  <c r="AD58" i="2"/>
  <c r="J58" i="2"/>
  <c r="I58" i="2"/>
  <c r="AD57" i="2"/>
  <c r="J57" i="2"/>
  <c r="I57" i="2"/>
  <c r="AD56" i="2"/>
  <c r="J56" i="2"/>
  <c r="I56" i="2"/>
  <c r="AD55" i="2"/>
  <c r="J55" i="2"/>
  <c r="I55" i="2"/>
  <c r="AD54" i="2"/>
  <c r="J54" i="2"/>
  <c r="I54" i="2"/>
  <c r="AD53" i="2"/>
  <c r="J53" i="2"/>
  <c r="I53" i="2"/>
  <c r="AD52" i="2"/>
  <c r="J52" i="2"/>
  <c r="I52" i="2"/>
  <c r="AD51" i="2"/>
  <c r="J51" i="2"/>
  <c r="I51" i="2"/>
  <c r="AD50" i="2"/>
  <c r="J50" i="2"/>
  <c r="I50" i="2"/>
  <c r="AD49" i="2"/>
  <c r="J49" i="2"/>
  <c r="I49" i="2"/>
  <c r="AD48" i="2"/>
  <c r="J48" i="2"/>
  <c r="I48" i="2"/>
  <c r="AD47" i="2"/>
  <c r="J47" i="2"/>
  <c r="I47" i="2"/>
  <c r="AD46" i="2"/>
  <c r="J46" i="2"/>
  <c r="I46" i="2"/>
  <c r="AD45" i="2"/>
  <c r="J45" i="2"/>
  <c r="I45" i="2"/>
  <c r="AD44" i="2"/>
  <c r="J44" i="2"/>
  <c r="I44" i="2"/>
  <c r="AD43" i="2"/>
  <c r="J43" i="2"/>
  <c r="I43" i="2"/>
  <c r="AD42" i="2"/>
  <c r="J42" i="2"/>
  <c r="I42" i="2"/>
  <c r="AD41" i="2"/>
  <c r="J41" i="2"/>
  <c r="I41" i="2"/>
  <c r="AD40" i="2"/>
  <c r="J40" i="2"/>
  <c r="I40" i="2"/>
  <c r="AD39" i="2"/>
  <c r="J39" i="2"/>
  <c r="I39" i="2"/>
  <c r="AD38" i="2"/>
  <c r="J38" i="2"/>
  <c r="I38" i="2"/>
  <c r="AD37" i="2"/>
  <c r="J37" i="2"/>
  <c r="I37" i="2"/>
  <c r="AD36" i="2"/>
  <c r="J36" i="2"/>
  <c r="I36" i="2"/>
  <c r="AD35" i="2"/>
  <c r="J35" i="2"/>
  <c r="I35" i="2"/>
  <c r="AD34" i="2"/>
  <c r="J34" i="2"/>
  <c r="I34" i="2"/>
  <c r="AD33" i="2"/>
  <c r="J33" i="2"/>
  <c r="I33" i="2"/>
  <c r="AD32" i="2"/>
  <c r="J32" i="2"/>
  <c r="I32" i="2"/>
  <c r="AD31" i="2"/>
  <c r="J31" i="2"/>
  <c r="I31" i="2"/>
  <c r="AD30" i="2"/>
  <c r="J30" i="2"/>
  <c r="I30" i="2"/>
  <c r="AD29" i="2"/>
  <c r="J29" i="2"/>
  <c r="I29" i="2"/>
  <c r="AD28" i="2"/>
  <c r="J28" i="2"/>
  <c r="I28" i="2"/>
  <c r="AD27" i="2"/>
  <c r="J27" i="2"/>
  <c r="I27" i="2"/>
  <c r="AD26" i="2"/>
  <c r="J26" i="2"/>
  <c r="I26" i="2"/>
  <c r="I25" i="2"/>
  <c r="AD24" i="2"/>
  <c r="Q24" i="2"/>
  <c r="R24" i="2" s="1"/>
  <c r="M24" i="2"/>
  <c r="J24" i="2"/>
  <c r="AA24" i="2" s="1"/>
  <c r="I24" i="2"/>
  <c r="T24" i="2" s="1"/>
  <c r="AD23" i="2"/>
  <c r="Q23" i="2"/>
  <c r="R23" i="2" s="1"/>
  <c r="M23" i="2"/>
  <c r="J23" i="2"/>
  <c r="V23" i="2" s="1"/>
  <c r="I23" i="2"/>
  <c r="S23" i="2" s="1"/>
  <c r="AD22" i="2"/>
  <c r="Q22" i="2"/>
  <c r="R22" i="2" s="1"/>
  <c r="M22" i="2"/>
  <c r="J22" i="2"/>
  <c r="V22" i="2" s="1"/>
  <c r="AD21" i="2"/>
  <c r="Q21" i="2"/>
  <c r="R21" i="2" s="1"/>
  <c r="M21" i="2"/>
  <c r="J21" i="2"/>
  <c r="AA21" i="2" s="1"/>
  <c r="I21" i="2"/>
  <c r="Z21" i="2" s="1"/>
  <c r="AD20" i="2"/>
  <c r="Q20" i="2"/>
  <c r="R20" i="2" s="1"/>
  <c r="M20" i="2"/>
  <c r="J20" i="2"/>
  <c r="AA20" i="2" s="1"/>
  <c r="I20" i="2"/>
  <c r="S20" i="2" s="1"/>
  <c r="AD19" i="2"/>
  <c r="Q19" i="2"/>
  <c r="R19" i="2" s="1"/>
  <c r="M19" i="2"/>
  <c r="J19" i="2"/>
  <c r="V19" i="2" s="1"/>
  <c r="I19" i="2"/>
  <c r="S19" i="2" s="1"/>
  <c r="AD18" i="2"/>
  <c r="Q18" i="2"/>
  <c r="R18" i="2" s="1"/>
  <c r="M18" i="2"/>
  <c r="J18" i="2"/>
  <c r="V18" i="2" s="1"/>
  <c r="I18" i="2"/>
  <c r="T18" i="2" s="1"/>
  <c r="AD17" i="2"/>
  <c r="Q17" i="2"/>
  <c r="R17" i="2" s="1"/>
  <c r="M17" i="2"/>
  <c r="J17" i="2"/>
  <c r="AA17" i="2" s="1"/>
  <c r="AD16" i="2"/>
  <c r="Q16" i="2"/>
  <c r="R16" i="2" s="1"/>
  <c r="M16" i="2"/>
  <c r="J16" i="2"/>
  <c r="AA16" i="2" s="1"/>
  <c r="AD15" i="2"/>
  <c r="Q15" i="2"/>
  <c r="R15" i="2" s="1"/>
  <c r="M15" i="2"/>
  <c r="J15" i="2"/>
  <c r="V15" i="2" s="1"/>
  <c r="I15" i="2"/>
  <c r="T15" i="2" s="1"/>
  <c r="AD14" i="2"/>
  <c r="Q14" i="2"/>
  <c r="R14" i="2" s="1"/>
  <c r="M14" i="2"/>
  <c r="J14" i="2"/>
  <c r="V14" i="2" s="1"/>
  <c r="I14" i="2"/>
  <c r="S14" i="2" s="1"/>
  <c r="S14" i="3" s="1"/>
  <c r="T14" i="3" s="1"/>
  <c r="AD13" i="2"/>
  <c r="Q13" i="2"/>
  <c r="R13" i="2" s="1"/>
  <c r="M13" i="2"/>
  <c r="J13" i="2"/>
  <c r="AA13" i="2" s="1"/>
  <c r="I13" i="2"/>
  <c r="S13" i="2" s="1"/>
  <c r="AD12" i="2"/>
  <c r="Q12" i="2"/>
  <c r="R12" i="2" s="1"/>
  <c r="M12" i="2"/>
  <c r="J12" i="2"/>
  <c r="AA12" i="2" s="1"/>
  <c r="I12" i="2"/>
  <c r="T12" i="2" s="1"/>
  <c r="AD11" i="2"/>
  <c r="Q11" i="2"/>
  <c r="R11" i="2" s="1"/>
  <c r="M11" i="2"/>
  <c r="J11" i="2"/>
  <c r="V11" i="2" s="1"/>
  <c r="I11" i="2"/>
  <c r="S11" i="2" s="1"/>
  <c r="AD10" i="2"/>
  <c r="Q10" i="2"/>
  <c r="R10" i="2" s="1"/>
  <c r="M10" i="2"/>
  <c r="J10" i="2"/>
  <c r="V10" i="2" s="1"/>
  <c r="I10" i="2"/>
  <c r="T10" i="2" s="1"/>
  <c r="AD9" i="2"/>
  <c r="Q9" i="2"/>
  <c r="R9" i="2" s="1"/>
  <c r="W9" i="2" s="1"/>
  <c r="M9" i="2"/>
  <c r="J9" i="2"/>
  <c r="AA9" i="2" s="1"/>
  <c r="AD8" i="2"/>
  <c r="Q8" i="2"/>
  <c r="R8" i="2" s="1"/>
  <c r="M8" i="2"/>
  <c r="J8" i="2"/>
  <c r="AA8" i="2" s="1"/>
  <c r="I8" i="2"/>
  <c r="S8" i="2" s="1"/>
  <c r="AD7" i="2"/>
  <c r="Q7" i="2"/>
  <c r="R7" i="2" s="1"/>
  <c r="W7" i="2" s="1"/>
  <c r="M7" i="2"/>
  <c r="J7" i="2"/>
  <c r="V7" i="2" s="1"/>
  <c r="I7" i="2"/>
  <c r="S7" i="2" s="1"/>
  <c r="AD6" i="2"/>
  <c r="Q6" i="2"/>
  <c r="R6" i="2" s="1"/>
  <c r="M6" i="2"/>
  <c r="J6" i="2"/>
  <c r="V6" i="2" s="1"/>
  <c r="I6" i="2"/>
  <c r="S6" i="2" s="1"/>
  <c r="S6" i="3" s="1"/>
  <c r="T6" i="3" s="1"/>
  <c r="AD5" i="2"/>
  <c r="Q5" i="2"/>
  <c r="R5" i="2" s="1"/>
  <c r="W5" i="2" s="1"/>
  <c r="M5" i="2"/>
  <c r="J5" i="2"/>
  <c r="AA5" i="2" s="1"/>
  <c r="I5" i="2"/>
  <c r="T5" i="2" s="1"/>
  <c r="AD4" i="2"/>
  <c r="Q4" i="2"/>
  <c r="R4" i="2" s="1"/>
  <c r="M4" i="2"/>
  <c r="J4" i="2"/>
  <c r="AA4" i="2" s="1"/>
  <c r="I4" i="2"/>
  <c r="S4" i="2" s="1"/>
  <c r="AD3" i="2"/>
  <c r="Q3" i="2"/>
  <c r="R3" i="2" s="1"/>
  <c r="W3" i="2" s="1"/>
  <c r="M3" i="2"/>
  <c r="J3" i="2"/>
  <c r="V3" i="2" s="1"/>
  <c r="I3" i="2"/>
  <c r="T3" i="2" s="1"/>
  <c r="AD2" i="2"/>
  <c r="Q2" i="2"/>
  <c r="R2" i="2" s="1"/>
  <c r="M2" i="2"/>
  <c r="J2" i="2"/>
  <c r="V2" i="2" s="1"/>
  <c r="I2" i="2"/>
  <c r="V21" i="2" l="1"/>
  <c r="V13" i="2"/>
  <c r="V5" i="2"/>
  <c r="T19" i="2"/>
  <c r="T11" i="2"/>
  <c r="AA10" i="2"/>
  <c r="AA18" i="2"/>
  <c r="V20" i="2"/>
  <c r="V12" i="2"/>
  <c r="V4" i="2"/>
  <c r="AA3" i="2"/>
  <c r="AA11" i="2"/>
  <c r="AA19" i="2"/>
  <c r="T8" i="2"/>
  <c r="V17" i="2"/>
  <c r="V9" i="2"/>
  <c r="T23" i="2"/>
  <c r="T7" i="2"/>
  <c r="AA6" i="2"/>
  <c r="AA14" i="2"/>
  <c r="AA22" i="2"/>
  <c r="V24" i="2"/>
  <c r="V16" i="2"/>
  <c r="V8" i="2"/>
  <c r="T14" i="2"/>
  <c r="T6" i="2"/>
  <c r="AA7" i="2"/>
  <c r="AA15" i="2"/>
  <c r="AA23" i="2"/>
  <c r="T21" i="2"/>
  <c r="T13" i="2"/>
  <c r="T20" i="2"/>
  <c r="T4" i="2"/>
  <c r="N25" i="2"/>
  <c r="AA2" i="2"/>
  <c r="S10" i="2"/>
  <c r="O11" i="3"/>
  <c r="O23" i="3"/>
  <c r="U21" i="3"/>
  <c r="V21" i="3" s="1"/>
  <c r="Z11" i="2"/>
  <c r="S12" i="2"/>
  <c r="S12" i="3" s="1"/>
  <c r="S2" i="2"/>
  <c r="S2" i="3" s="1"/>
  <c r="S3" i="2"/>
  <c r="S3" i="3" s="1"/>
  <c r="S5" i="2"/>
  <c r="Z3" i="2"/>
  <c r="Z18" i="2"/>
  <c r="Z10" i="2"/>
  <c r="Z24" i="2"/>
  <c r="Z8" i="2"/>
  <c r="Z23" i="2"/>
  <c r="Z15" i="2"/>
  <c r="Z7" i="2"/>
  <c r="Z14" i="2"/>
  <c r="Z6" i="2"/>
  <c r="AB21" i="2"/>
  <c r="AC21" i="2" s="1"/>
  <c r="Z19" i="2"/>
  <c r="AB19" i="2" s="1"/>
  <c r="AC19" i="2" s="1"/>
  <c r="Z13" i="2"/>
  <c r="Z5" i="2"/>
  <c r="Z20" i="2"/>
  <c r="AB20" i="2" s="1"/>
  <c r="AC20" i="2" s="1"/>
  <c r="Z4" i="2"/>
  <c r="U20" i="3"/>
  <c r="V20" i="3" s="1"/>
  <c r="U19" i="3"/>
  <c r="V19" i="3" s="1"/>
  <c r="U18" i="3"/>
  <c r="V18" i="3" s="1"/>
  <c r="U15" i="3"/>
  <c r="V15" i="3" s="1"/>
  <c r="S22" i="3"/>
  <c r="S24" i="2"/>
  <c r="S24" i="3" s="1"/>
  <c r="S9" i="3"/>
  <c r="S10" i="3"/>
  <c r="S16" i="3"/>
  <c r="S8" i="3"/>
  <c r="S11" i="3"/>
  <c r="S19" i="3"/>
  <c r="S23" i="3"/>
  <c r="S7" i="3"/>
  <c r="S13" i="3"/>
  <c r="S5" i="3"/>
  <c r="S20" i="3"/>
  <c r="S4" i="3"/>
  <c r="N8" i="3"/>
  <c r="Z8" i="3" s="1"/>
  <c r="N16" i="3"/>
  <c r="N14" i="3"/>
  <c r="Z14" i="3" s="1"/>
  <c r="N4" i="3"/>
  <c r="Z4" i="3" s="1"/>
  <c r="N17" i="3"/>
  <c r="N24" i="3"/>
  <c r="Z24" i="3" s="1"/>
  <c r="N7" i="3"/>
  <c r="Z7" i="3" s="1"/>
  <c r="O12" i="3"/>
  <c r="N5" i="3"/>
  <c r="Z5" i="3" s="1"/>
  <c r="N20" i="3"/>
  <c r="N3" i="3"/>
  <c r="Z3" i="3" s="1"/>
  <c r="N13" i="3"/>
  <c r="Z13" i="3" s="1"/>
  <c r="O22" i="3"/>
  <c r="O10" i="3"/>
  <c r="O6" i="3"/>
  <c r="N19" i="3"/>
  <c r="N6" i="3"/>
  <c r="Z6" i="3" s="1"/>
  <c r="O24" i="3"/>
  <c r="N23" i="3"/>
  <c r="Z23" i="3" s="1"/>
  <c r="N22" i="3"/>
  <c r="O17" i="3"/>
  <c r="O16" i="3"/>
  <c r="O14" i="3"/>
  <c r="O13" i="3"/>
  <c r="N11" i="3"/>
  <c r="Z11" i="3" s="1"/>
  <c r="N10" i="3"/>
  <c r="Z10" i="3" s="1"/>
  <c r="O9" i="3"/>
  <c r="N9" i="3"/>
  <c r="O8" i="3"/>
  <c r="O7" i="3"/>
  <c r="O5" i="3"/>
  <c r="O4" i="3"/>
  <c r="O3" i="3"/>
  <c r="R25" i="2"/>
  <c r="P6" i="3"/>
  <c r="W10" i="2"/>
  <c r="W20" i="2"/>
  <c r="W24" i="2"/>
  <c r="W8" i="2"/>
  <c r="W16" i="2"/>
  <c r="W6" i="2"/>
  <c r="W14" i="2"/>
  <c r="W22" i="2"/>
  <c r="W4" i="2"/>
  <c r="W2" i="2"/>
  <c r="W12" i="2"/>
  <c r="P20" i="3"/>
  <c r="W18" i="2"/>
  <c r="W11" i="2"/>
  <c r="W13" i="2"/>
  <c r="W15" i="2"/>
  <c r="W17" i="2"/>
  <c r="W19" i="2"/>
  <c r="W21" i="2"/>
  <c r="W23" i="2"/>
  <c r="P23" i="3"/>
  <c r="X20" i="2" l="1"/>
  <c r="AB18" i="2"/>
  <c r="X21" i="2"/>
  <c r="Y21" i="2" s="1"/>
  <c r="X15" i="2"/>
  <c r="Y15" i="2" s="1"/>
  <c r="P18" i="3"/>
  <c r="AB15" i="2"/>
  <c r="AC15" i="2" s="1"/>
  <c r="AB23" i="2"/>
  <c r="AC23" i="2" s="1"/>
  <c r="AB6" i="2"/>
  <c r="AC6" i="2" s="1"/>
  <c r="Z12" i="2"/>
  <c r="N12" i="3"/>
  <c r="Z12" i="3" s="1"/>
  <c r="Z2" i="2"/>
  <c r="T2" i="2"/>
  <c r="N2" i="3"/>
  <c r="Z2" i="3" s="1"/>
  <c r="AB14" i="2"/>
  <c r="AC14" i="2" s="1"/>
  <c r="X18" i="2"/>
  <c r="Y18" i="2" s="1"/>
  <c r="AB4" i="2"/>
  <c r="AC4" i="2" s="1"/>
  <c r="X4" i="2"/>
  <c r="Y4" i="2" s="1"/>
  <c r="X14" i="2"/>
  <c r="Y14" i="2" s="1"/>
  <c r="T4" i="3"/>
  <c r="T19" i="3"/>
  <c r="T22" i="3"/>
  <c r="T12" i="3"/>
  <c r="T11" i="3"/>
  <c r="T9" i="3"/>
  <c r="T3" i="3"/>
  <c r="T16" i="3"/>
  <c r="T5" i="3"/>
  <c r="T8" i="3"/>
  <c r="T24" i="3"/>
  <c r="T7" i="3"/>
  <c r="T20" i="3"/>
  <c r="T13" i="3"/>
  <c r="T23" i="3"/>
  <c r="T10" i="3"/>
  <c r="T2" i="3"/>
  <c r="X23" i="2"/>
  <c r="Y23" i="2" s="1"/>
  <c r="X19" i="2"/>
  <c r="Y19" i="2" s="1"/>
  <c r="U23" i="2"/>
  <c r="X8" i="2"/>
  <c r="Y8" i="2" s="1"/>
  <c r="X6" i="2"/>
  <c r="Y6" i="2" s="1"/>
  <c r="U6" i="2"/>
  <c r="N18" i="3"/>
  <c r="S18" i="2"/>
  <c r="S18" i="3" s="1"/>
  <c r="N15" i="3"/>
  <c r="S15" i="2"/>
  <c r="S15" i="3" s="1"/>
  <c r="N21" i="3"/>
  <c r="S21" i="2"/>
  <c r="S21" i="3" s="1"/>
  <c r="O18" i="3"/>
  <c r="O20" i="3"/>
  <c r="O19" i="3"/>
  <c r="AC18" i="2"/>
  <c r="Y20" i="2"/>
  <c r="P19" i="3"/>
  <c r="P12" i="3" l="1"/>
  <c r="AB7" i="2"/>
  <c r="AC7" i="2" s="1"/>
  <c r="AB10" i="2"/>
  <c r="AC10" i="2" s="1"/>
  <c r="X10" i="2"/>
  <c r="Y10" i="2" s="1"/>
  <c r="P8" i="3"/>
  <c r="AB8" i="2"/>
  <c r="AC8" i="2" s="1"/>
  <c r="X24" i="2"/>
  <c r="Y24" i="2" s="1"/>
  <c r="X7" i="2"/>
  <c r="Y7" i="2" s="1"/>
  <c r="AB13" i="2"/>
  <c r="AC13" i="2" s="1"/>
  <c r="AB24" i="2"/>
  <c r="AC24" i="2" s="1"/>
  <c r="U6" i="3"/>
  <c r="V6" i="3" s="1"/>
  <c r="U23" i="3"/>
  <c r="V23" i="3" s="1"/>
  <c r="T21" i="3"/>
  <c r="T15" i="3"/>
  <c r="T18" i="3"/>
  <c r="R23" i="3"/>
  <c r="P10" i="3"/>
  <c r="U10" i="2"/>
  <c r="P4" i="3"/>
  <c r="R4" i="3" s="1"/>
  <c r="U4" i="2"/>
  <c r="P14" i="3"/>
  <c r="R14" i="3" s="1"/>
  <c r="U14" i="2"/>
  <c r="X13" i="2"/>
  <c r="Y13" i="2" s="1"/>
  <c r="R19" i="3"/>
  <c r="AB19" i="3" s="1"/>
  <c r="R6" i="3"/>
  <c r="P24" i="3"/>
  <c r="R24" i="3" s="1"/>
  <c r="U24" i="2"/>
  <c r="R12" i="3"/>
  <c r="R20" i="3"/>
  <c r="AB20" i="3" s="1"/>
  <c r="R18" i="3"/>
  <c r="AB18" i="3" s="1"/>
  <c r="O15" i="3"/>
  <c r="O21" i="3"/>
  <c r="AA23" i="3" l="1"/>
  <c r="AB23" i="3" s="1"/>
  <c r="AA14" i="3"/>
  <c r="AB14" i="3" s="1"/>
  <c r="AA24" i="3"/>
  <c r="AB24" i="3" s="1"/>
  <c r="AA12" i="3"/>
  <c r="AB12" i="3" s="1"/>
  <c r="AA4" i="3"/>
  <c r="AB4" i="3" s="1"/>
  <c r="AA6" i="3"/>
  <c r="AB6" i="3" s="1"/>
  <c r="AB12" i="2"/>
  <c r="AC12" i="2" s="1"/>
  <c r="X12" i="2"/>
  <c r="Y12" i="2" s="1"/>
  <c r="U12" i="2"/>
  <c r="U12" i="3" s="1"/>
  <c r="V12" i="3" s="1"/>
  <c r="X5" i="2"/>
  <c r="Y5" i="2" s="1"/>
  <c r="AB3" i="2"/>
  <c r="AC3" i="2" s="1"/>
  <c r="X3" i="2"/>
  <c r="Y3" i="2" s="1"/>
  <c r="AB5" i="2"/>
  <c r="AC5" i="2" s="1"/>
  <c r="U8" i="2"/>
  <c r="U8" i="3" s="1"/>
  <c r="V8" i="3" s="1"/>
  <c r="AB11" i="2"/>
  <c r="AC11" i="2" s="1"/>
  <c r="X11" i="2"/>
  <c r="Y11" i="2" s="1"/>
  <c r="U5" i="2"/>
  <c r="U4" i="3"/>
  <c r="V4" i="3" s="1"/>
  <c r="U10" i="3"/>
  <c r="V10" i="3" s="1"/>
  <c r="U24" i="3"/>
  <c r="V24" i="3" s="1"/>
  <c r="U14" i="3"/>
  <c r="V14" i="3" s="1"/>
  <c r="W23" i="3"/>
  <c r="X23" i="3" s="1"/>
  <c r="Y23" i="3" s="1"/>
  <c r="R10" i="3"/>
  <c r="W19" i="3"/>
  <c r="X19" i="3" s="1"/>
  <c r="Y19" i="3" s="1"/>
  <c r="W6" i="3"/>
  <c r="X6" i="3" s="1"/>
  <c r="Y6" i="3" s="1"/>
  <c r="R8" i="3"/>
  <c r="P3" i="3"/>
  <c r="U3" i="2"/>
  <c r="P13" i="3"/>
  <c r="R13" i="3" s="1"/>
  <c r="U13" i="2"/>
  <c r="P7" i="3"/>
  <c r="R7" i="3" s="1"/>
  <c r="U7" i="2"/>
  <c r="W24" i="3"/>
  <c r="W4" i="3"/>
  <c r="W14" i="3"/>
  <c r="W18" i="3"/>
  <c r="X18" i="3" s="1"/>
  <c r="Y18" i="3" s="1"/>
  <c r="W12" i="3"/>
  <c r="W20" i="3"/>
  <c r="X20" i="3" s="1"/>
  <c r="Y20" i="3" s="1"/>
  <c r="P21" i="3"/>
  <c r="P15" i="3"/>
  <c r="AB8" i="3" l="1"/>
  <c r="AA7" i="3"/>
  <c r="AB7" i="3" s="1"/>
  <c r="AA13" i="3"/>
  <c r="AB13" i="3" s="1"/>
  <c r="W8" i="3"/>
  <c r="X8" i="3" s="1"/>
  <c r="Y8" i="3" s="1"/>
  <c r="AA8" i="3"/>
  <c r="AA10" i="3"/>
  <c r="AB10" i="3" s="1"/>
  <c r="X12" i="3"/>
  <c r="Y12" i="3" s="1"/>
  <c r="P5" i="3"/>
  <c r="R5" i="3" s="1"/>
  <c r="X24" i="3"/>
  <c r="Y24" i="3" s="1"/>
  <c r="U13" i="3"/>
  <c r="V13" i="3" s="1"/>
  <c r="U3" i="3"/>
  <c r="V3" i="3" s="1"/>
  <c r="U5" i="3"/>
  <c r="V5" i="3" s="1"/>
  <c r="X4" i="3"/>
  <c r="Y4" i="3" s="1"/>
  <c r="U7" i="3"/>
  <c r="V7" i="3" s="1"/>
  <c r="W10" i="3"/>
  <c r="X10" i="3" s="1"/>
  <c r="Y10" i="3" s="1"/>
  <c r="X14" i="3"/>
  <c r="Y14" i="3" s="1"/>
  <c r="R3" i="3"/>
  <c r="P11" i="3"/>
  <c r="R11" i="3" s="1"/>
  <c r="U11" i="2"/>
  <c r="W7" i="3"/>
  <c r="R15" i="3"/>
  <c r="AB15" i="3" s="1"/>
  <c r="R21" i="3"/>
  <c r="AB21" i="3" s="1"/>
  <c r="W13" i="3"/>
  <c r="AA11" i="3" l="1"/>
  <c r="AB11" i="3" s="1"/>
  <c r="AA3" i="3"/>
  <c r="AB3" i="3" s="1"/>
  <c r="W5" i="3"/>
  <c r="X5" i="3" s="1"/>
  <c r="Y5" i="3" s="1"/>
  <c r="AA5" i="3"/>
  <c r="AB5" i="3" s="1"/>
  <c r="AB9" i="2"/>
  <c r="AC9" i="2" s="1"/>
  <c r="X13" i="3"/>
  <c r="Y13" i="3" s="1"/>
  <c r="U11" i="3"/>
  <c r="V11" i="3" s="1"/>
  <c r="X7" i="3"/>
  <c r="Y7" i="3" s="1"/>
  <c r="W15" i="3"/>
  <c r="X15" i="3" s="1"/>
  <c r="Y15" i="3" s="1"/>
  <c r="W3" i="3"/>
  <c r="X3" i="3" s="1"/>
  <c r="Y3" i="3" s="1"/>
  <c r="X9" i="2"/>
  <c r="W11" i="3"/>
  <c r="W21" i="3"/>
  <c r="X21" i="3" s="1"/>
  <c r="Y21" i="3" s="1"/>
  <c r="Y9" i="2" l="1"/>
  <c r="X11" i="3"/>
  <c r="Y11" i="3" s="1"/>
  <c r="P9" i="3"/>
  <c r="R9" i="3" s="1"/>
  <c r="U9" i="2"/>
  <c r="AA9" i="3" l="1"/>
  <c r="AB9" i="3" s="1"/>
  <c r="U9" i="3"/>
  <c r="V9" i="3" s="1"/>
  <c r="AB16" i="2"/>
  <c r="X16" i="2"/>
  <c r="Y16" i="2" s="1"/>
  <c r="W9" i="3"/>
  <c r="X9" i="3" l="1"/>
  <c r="Y9" i="3" s="1"/>
  <c r="P16" i="3"/>
  <c r="R16" i="3" s="1"/>
  <c r="U16" i="2"/>
  <c r="AC16" i="2"/>
  <c r="AA16" i="3" l="1"/>
  <c r="AB16" i="3" s="1"/>
  <c r="U16" i="3"/>
  <c r="V16" i="3" s="1"/>
  <c r="W16" i="3"/>
  <c r="X16" i="3" l="1"/>
  <c r="Y16" i="3" s="1"/>
  <c r="X17" i="2"/>
  <c r="Y17" i="2" s="1"/>
  <c r="AB17" i="2"/>
  <c r="X22" i="2" l="1"/>
  <c r="P17" i="3"/>
  <c r="R17" i="3" s="1"/>
  <c r="U17" i="2"/>
  <c r="AB22" i="2"/>
  <c r="AC22" i="2" s="1"/>
  <c r="AC17" i="2"/>
  <c r="AA17" i="3" l="1"/>
  <c r="AB17" i="3" s="1"/>
  <c r="Y22" i="2"/>
  <c r="U17" i="3"/>
  <c r="V17" i="3" s="1"/>
  <c r="P22" i="3"/>
  <c r="R22" i="3" s="1"/>
  <c r="U22" i="2"/>
  <c r="W17" i="3"/>
  <c r="AA22" i="3" l="1"/>
  <c r="AB22" i="3" s="1"/>
  <c r="U22" i="3"/>
  <c r="V22" i="3" s="1"/>
  <c r="X17" i="3"/>
  <c r="Y17" i="3" s="1"/>
  <c r="W22" i="3"/>
  <c r="X22" i="3" l="1"/>
  <c r="Y22" i="3" s="1"/>
  <c r="O2" i="3"/>
  <c r="X2" i="2" l="1"/>
  <c r="Y2" i="2" l="1"/>
  <c r="Y25" i="2" s="1"/>
  <c r="X25" i="2"/>
  <c r="AB2" i="2"/>
  <c r="P2" i="3" l="1"/>
  <c r="R2" i="3" s="1"/>
  <c r="U2" i="2"/>
  <c r="U2" i="3" s="1"/>
  <c r="V2" i="3" s="1"/>
  <c r="AC2" i="2"/>
  <c r="AC25" i="2" s="1"/>
  <c r="AB25" i="2"/>
  <c r="AA2" i="3" l="1"/>
  <c r="AB2" i="3" s="1"/>
  <c r="AB25" i="3" s="1"/>
  <c r="R25" i="3"/>
  <c r="W2" i="3"/>
  <c r="X2" i="3" s="1"/>
  <c r="Y2" i="3" s="1"/>
  <c r="Y2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Q1" authorId="0" shapeId="0" xr:uid="{20BD69D9-2C12-445B-86C9-F420CCDA7CC6}">
      <text>
        <r>
          <rPr>
            <b/>
            <sz val="9"/>
            <color indexed="81"/>
            <rFont val="Tahoma"/>
            <family val="2"/>
          </rPr>
          <t>ADMIN:Variable Component</t>
        </r>
      </text>
    </comment>
  </commentList>
</comments>
</file>

<file path=xl/sharedStrings.xml><?xml version="1.0" encoding="utf-8"?>
<sst xmlns="http://schemas.openxmlformats.org/spreadsheetml/2006/main" count="518" uniqueCount="246">
  <si>
    <t>Payroll Parameters (Edit only Value column)</t>
  </si>
  <si>
    <t>Parameter</t>
  </si>
  <si>
    <t>Value</t>
  </si>
  <si>
    <t>Notes</t>
  </si>
  <si>
    <t>BASIC_MIN_WAGE_CUTOFF</t>
  </si>
  <si>
    <t>If Actual Gross &lt; 15,000 ⇒ Basic = Actual Gross (treated as minimum wages)</t>
  </si>
  <si>
    <t>BASIC_CAP</t>
  </si>
  <si>
    <t>PF wage ceiling &amp; base point for Basic rule</t>
  </si>
  <si>
    <t>BASIC_INCREMENT_RATE</t>
  </si>
  <si>
    <t>Basic = 15,000 + 10% × (Actual Gross - 15,000) when Actual Gross ≥ 15,000</t>
  </si>
  <si>
    <t>BONUS_LIMIT</t>
  </si>
  <si>
    <t>Attendance bonus only if Actual Gross &lt; 25,000</t>
  </si>
  <si>
    <t>ATTENDANCE_BONUS</t>
  </si>
  <si>
    <t>Attendance bonus amount if No LOP</t>
  </si>
  <si>
    <t>PF_EMP_RATE</t>
  </si>
  <si>
    <t>Employee PF rate on PF wage base (capped at 15,000)</t>
  </si>
  <si>
    <t>PF_EMPR_RATE</t>
  </si>
  <si>
    <t>Employer PF rate on PF wage base (capped at 15,000)</t>
  </si>
  <si>
    <t>ESIC_LIMIT</t>
  </si>
  <si>
    <t>ESIC applicable if Gross ≤ 21,000</t>
  </si>
  <si>
    <t>ESIC_EMP_RATE</t>
  </si>
  <si>
    <t>Employee ESIC rate on Gross</t>
  </si>
  <si>
    <t>ESIC_EMPR_RATE</t>
  </si>
  <si>
    <t>Employer ESIC rate on Gross</t>
  </si>
  <si>
    <t>S.No.</t>
  </si>
  <si>
    <t>Name</t>
  </si>
  <si>
    <t>Designation</t>
  </si>
  <si>
    <t>Skill Category</t>
  </si>
  <si>
    <t>Grade</t>
  </si>
  <si>
    <t>Minimum 
Wage</t>
  </si>
  <si>
    <t>Actual 
Gross</t>
  </si>
  <si>
    <t>PF Past 
Service</t>
  </si>
  <si>
    <t>PF 
Applicability</t>
  </si>
  <si>
    <t>ESIC 
Applicability</t>
  </si>
  <si>
    <t>Total 
Days</t>
  </si>
  <si>
    <t>Loss of Pay days</t>
  </si>
  <si>
    <t>Total Payable Days</t>
  </si>
  <si>
    <t>Basic</t>
  </si>
  <si>
    <t>HRA</t>
  </si>
  <si>
    <t>Other allowance</t>
  </si>
  <si>
    <t>Attendance 
Bonus</t>
  </si>
  <si>
    <t>Gross</t>
  </si>
  <si>
    <t>Employee PF</t>
  </si>
  <si>
    <t>Employee ESIC</t>
  </si>
  <si>
    <t>PT</t>
  </si>
  <si>
    <t>Total deduction</t>
  </si>
  <si>
    <t>Net salary</t>
  </si>
  <si>
    <t>Employer PF</t>
  </si>
  <si>
    <t>Employer ESIC</t>
  </si>
  <si>
    <t>Monthly CTC</t>
  </si>
  <si>
    <t>Yearly CTC</t>
  </si>
  <si>
    <t>Caution</t>
  </si>
  <si>
    <t>P.Ramya</t>
  </si>
  <si>
    <t>SMT-OPERATOR</t>
  </si>
  <si>
    <t>skilled</t>
  </si>
  <si>
    <t>G3-S2</t>
  </si>
  <si>
    <t>Yes</t>
  </si>
  <si>
    <t>G.Ram Kumar</t>
  </si>
  <si>
    <t>TECHNICIAN</t>
  </si>
  <si>
    <t>G3-S3</t>
  </si>
  <si>
    <t>Chinna</t>
  </si>
  <si>
    <t>QUALITY-HELPER</t>
  </si>
  <si>
    <t>Un skilled</t>
  </si>
  <si>
    <t>G1</t>
  </si>
  <si>
    <t>Sai teja</t>
  </si>
  <si>
    <t>G3-S1</t>
  </si>
  <si>
    <t>D Vanajakshi ( Operator)</t>
  </si>
  <si>
    <t>SOLDERING HELPER</t>
  </si>
  <si>
    <t>M Venamma ( Operator)</t>
  </si>
  <si>
    <t>K Lakshmi (House Keeping)</t>
  </si>
  <si>
    <t>HOUSE KEEPING</t>
  </si>
  <si>
    <t>Uma Mahesh</t>
  </si>
  <si>
    <t>STORE TECHNICIAN</t>
  </si>
  <si>
    <t>NO</t>
  </si>
  <si>
    <t>Naga Sai Sarvani (Trainee)</t>
  </si>
  <si>
    <t>GET TRAINEE</t>
  </si>
  <si>
    <t>semi skilled</t>
  </si>
  <si>
    <t>G2</t>
  </si>
  <si>
    <t>Ch.Rajylaxmi</t>
  </si>
  <si>
    <t>SMT-HELPER</t>
  </si>
  <si>
    <t>sai priya</t>
  </si>
  <si>
    <t>QUALITY OPERATOR</t>
  </si>
  <si>
    <t>Skilled</t>
  </si>
  <si>
    <t>k laxmamma</t>
  </si>
  <si>
    <t>S ROIG</t>
  </si>
  <si>
    <t>ASST SMT-OPERATOR</t>
  </si>
  <si>
    <t>Narendra Singh</t>
  </si>
  <si>
    <t>MAINTAINENCE- MANAGER</t>
  </si>
  <si>
    <t>Higly skilled</t>
  </si>
  <si>
    <t>G4</t>
  </si>
  <si>
    <t>Devi Nagireddy</t>
  </si>
  <si>
    <t>GET-TRAINEE</t>
  </si>
  <si>
    <t>SAI HARIKA</t>
  </si>
  <si>
    <t>Ashok Kumar R H</t>
  </si>
  <si>
    <t>CEO</t>
  </si>
  <si>
    <t>K. Bhargavi</t>
  </si>
  <si>
    <t>SCM</t>
  </si>
  <si>
    <t>Nalla Shiva Sai Kumar</t>
  </si>
  <si>
    <t>OPERATION &amp; PROGRAM</t>
  </si>
  <si>
    <t>Imran Pasha</t>
  </si>
  <si>
    <t>PRODUCTION</t>
  </si>
  <si>
    <t>Dheshmi Priayanka</t>
  </si>
  <si>
    <t>Semi skilled</t>
  </si>
  <si>
    <t>No</t>
  </si>
  <si>
    <t>Satta Maneesha</t>
  </si>
  <si>
    <t>Dokka Nagalaxmi</t>
  </si>
  <si>
    <t>yes</t>
  </si>
  <si>
    <t xml:space="preserve"> </t>
  </si>
  <si>
    <t>Inputs: Name, Designation, Skill Category, Grade, Actual Gross, PF Past Service (YES/NO), PT. Attendance bonus is auto-added into Gross when (Actual Gross &lt; 25,000 AND No LOP=YES). No LOP is a hidden helper column default YES.</t>
  </si>
  <si>
    <t>PF wage</t>
  </si>
  <si>
    <t>PF Wage</t>
  </si>
  <si>
    <t>Esi wage</t>
  </si>
  <si>
    <t>ESI wage</t>
  </si>
  <si>
    <t>Employee
 ESIC</t>
  </si>
  <si>
    <t>Salary Structure – Statutory Compliance Note</t>
  </si>
  <si>
    <t>1. Applicable Legislations</t>
  </si>
  <si>
    <t>The salary structure has been aligned with the following statutes and judicial precedents:</t>
  </si>
  <si>
    <t>1. Minimum Wages Act, 1948</t>
  </si>
  <si>
    <t>2. Employees’ State Insurance Act, 1948</t>
  </si>
  <si>
    <t>3. Employees’ Provident Funds &amp; Miscellaneous Provisions Act, 1952</t>
  </si>
  <si>
    <t>4. Employees’ Pension Scheme, 1995</t>
  </si>
  <si>
    <t>5. Employees’ Deposit Linked Insurance Scheme, 1976</t>
  </si>
  <si>
    <t>6. Payment of Wages Act</t>
  </si>
  <si>
    <t>7. Relevant Supreme Court Judgments, including:</t>
  </si>
  <si>
    <t>Reptakos Brett &amp; Co. Ltd. vs Workmen (1992)</t>
  </si>
  <si>
    <t>Regional Provident Fund Commissioner vs Vivekananda Vidyamandir (2019)</t>
  </si>
  <si>
    <t>2. Basic Wage Determination</t>
  </si>
  <si>
    <t>2.1 Where Actual / Gross Wages are ≤ ₹15,000</t>
  </si>
  <si>
    <t>Basic wages are fixed equal to the notified Minimum Wages.</t>
  </si>
  <si>
    <t>This ensures strict compliance with Section 12 of the Minimum Wages Act, 1948, which mandates payment of not less than minimum wages.</t>
  </si>
  <si>
    <t>2.2 Where Actual / Gross Wages are exactly ₹15,000</t>
  </si>
  <si>
    <t>Basic wages are fixed at ₹15,000.</t>
  </si>
  <si>
    <t>The EPF Act prescribes ₹15,000 only as a coverage threshold, not as a restriction on fixing basic wages.</t>
  </si>
  <si>
    <t>2.3 Where Actual / Gross Wages are above ₹15,000</t>
  </si>
  <si>
    <t>Basic wages are determined as the highest of the following:</t>
  </si>
  <si>
    <t>Minimum Wages</t>
  </si>
  <si>
    <t>₹15,000 + 10% of the amount exceeding ₹15,000</t>
  </si>
  <si>
    <t>50% of Gross Wages</t>
  </si>
  <si>
    <t>The Basic wage is rounded up to the nearest rupee.</t>
  </si>
  <si>
    <t>Legal justification:</t>
  </si>
  <si>
    <t>The Supreme Court (Vivekananda Vidyamandir case) has held that wages cannot be artificially split to reduce statutory liabilities and that ordinarily Basic + DA should form a substantial portion of total wages.</t>
  </si>
  <si>
    <t>No statute prescribes a fixed method for increasing basic wages above ₹15,000; employers retain commercial discretion, subject to minimum wage protection.</t>
  </si>
  <si>
    <t>3. House Rent Allowance (HRA)</t>
  </si>
  <si>
    <t>HRA is computed at 40% of Basic wages, subject to availability of balance.</t>
  </si>
  <si>
    <t>HRA is paid primarily to employees outside ESIC coverage.</t>
  </si>
  <si>
    <t>For employees drawing Gross wages above ₹30,000, HRA is provided irrespective of ESIC applicability.</t>
  </si>
  <si>
    <t>HRA is a recognized allowance under the Income-tax Act (Rule 2A).</t>
  </si>
  <si>
    <t>HRA is excluded from “wages” under both the EPF Act and the ESIC Act and hence does not attract contributions.</t>
  </si>
  <si>
    <t>Any residual amount remaining after allocation of statutory and standard allowances is shown as Other Allowance.</t>
  </si>
  <si>
    <t>This component is purely a balancing figure to ensure arithmetical accuracy.</t>
  </si>
  <si>
    <t>As per Supreme Court jurisprudence, allowances are permissible provided they are not used to camouflage Basic wages or suppress statutory contributions.</t>
  </si>
  <si>
    <t>The Company ensures minimum wages, 50% wage principle, and transparent balancing.</t>
  </si>
  <si>
    <t>At all times, the following equation is maintained:</t>
  </si>
  <si>
    <t>This ensures full compliance with the Payment of Wages Act and prevents any artificial or fictitious wage structuring.</t>
  </si>
  <si>
    <t>ESIC wages are restricted to Basic wages only.</t>
  </si>
  <si>
    <t>As per Section 2(22) of the ESIC Act, 1948, wages include Basic and DA only.</t>
  </si>
  <si>
    <t>The Company has intentionally followed the pre-labour code ESIC definition, which is the basis of current inspections and enforcement.</t>
  </si>
  <si>
    <t>PF coverage is applied where Basic wages are below ₹15,000.</t>
  </si>
  <si>
    <t>Where Basic wages are ₹15,000 or more, PF is excluded only at the time of first coverage decision, subject to employee declaration (Form 11).</t>
  </si>
  <si>
    <t>Once PF coverage is initiated, it continues irrespective of future salary increases.</t>
  </si>
  <si>
    <t>EPF Scheme, 1952 – Para 26(6) permits exclusion of employees whose wages exceed the statutory ceiling at the time of joining.</t>
  </si>
  <si>
    <t>Judicial and administrative practice mandates continuity of PF once initiated.</t>
  </si>
  <si>
    <t>Professional Tax is deducted strictly as per State-specific statutory slabs based on Gross wages.</t>
  </si>
  <si>
    <t xml:space="preserve">PAY MATRIX </t>
  </si>
  <si>
    <t>(Prepared based on approved statutory rules)</t>
  </si>
  <si>
    <t>GRADE STRUCTURE OVERVIEW</t>
  </si>
  <si>
    <t>Unskilled</t>
  </si>
  <si>
    <t>Semi-Skilled</t>
  </si>
  <si>
    <t>Skilled – Level 1</t>
  </si>
  <si>
    <t>Skilled – Level 2</t>
  </si>
  <si>
    <t>Skilled – Level 3</t>
  </si>
  <si>
    <t>Highly Skilled / Managerial</t>
  </si>
  <si>
    <t>GRADE G1 – UNSKILLED</t>
  </si>
  <si>
    <t>Typical Roles:</t>
  </si>
  <si>
    <t>Housekeeping, Helpers, Soldering Helpers, SMT Helpers</t>
  </si>
  <si>
    <t>Gross Salary: ₹12,720</t>
  </si>
  <si>
    <t>Minimum Wage: ₹12,720</t>
  </si>
  <si>
    <t>ESIC: Yes</t>
  </si>
  <si>
    <t>PF: Yes</t>
  </si>
  <si>
    <t>Salary Structure</t>
  </si>
  <si>
    <t>Basic: ₹12,720 (Minimum Wage)</t>
  </si>
  <si>
    <t>HRA: Nil</t>
  </si>
  <si>
    <t>Other Allowance: Nil</t>
  </si>
  <si>
    <t>✅ Gross = Basic</t>
  </si>
  <si>
    <t>📌 Compliance Note:</t>
  </si>
  <si>
    <t>Fully aligned with Minimum Wages Act; no allowance splitting.</t>
  </si>
  <si>
    <t>GRADE G2 – SEMI-SKILLED</t>
  </si>
  <si>
    <t>GET Trainee, Junior Operators</t>
  </si>
  <si>
    <t>Gross Salary: ₹15,000</t>
  </si>
  <si>
    <t>Minimum Wage: ₹13,417 – ₹13,629</t>
  </si>
  <si>
    <t>PF: Excluded (Basic = ₹15,000)</t>
  </si>
  <si>
    <t>Basic: ₹15,000</t>
  </si>
  <si>
    <t>Washing Allowance: Nil</t>
  </si>
  <si>
    <t>Basic fixed at threshold wage; PF excluded as first-time decision.</t>
  </si>
  <si>
    <t>GRADE G3-S1 – SKILLED (LEVEL 1)</t>
  </si>
  <si>
    <t>SMT Operator (Junior)</t>
  </si>
  <si>
    <t>Gross Salary: ₹16,000</t>
  </si>
  <si>
    <t>Minimum Wage: ₹13,629</t>
  </si>
  <si>
    <t>PF: Excluded</t>
  </si>
  <si>
    <t>Basic: ₹15,100</t>
  </si>
  <si>
    <t>(₹15,000 + 10% of excess, rounded up)</t>
  </si>
  <si>
    <t>Conveyance: ₹400</t>
  </si>
  <si>
    <t>Other Allowance: Balance</t>
  </si>
  <si>
    <t>✅ Gross = Balanced total</t>
  </si>
  <si>
    <t>GRADE G3-S2 – SKILLED (LEVEL 2)</t>
  </si>
  <si>
    <t>Store Technician, Quality Operator</t>
  </si>
  <si>
    <t>Gross Salary: ₹18,000</t>
  </si>
  <si>
    <t>Minimum Wage: ₹14,051</t>
  </si>
  <si>
    <t>Basic: ₹15,300</t>
  </si>
  <si>
    <t>GRADE G3-S3 – SKILLED (LEVEL 3)</t>
  </si>
  <si>
    <t>Senior Technician</t>
  </si>
  <si>
    <t>Gross Salary: ₹20,000</t>
  </si>
  <si>
    <t>Basic: ₹15,500</t>
  </si>
  <si>
    <t>GRADE G4 – HIGHLY SKILLED / MANAGERIAL</t>
  </si>
  <si>
    <t>Maintenance Manager, SCM, Program Head, CEO</t>
  </si>
  <si>
    <t>Gross Salary Range: ₹42,010 – ₹1,00,000</t>
  </si>
  <si>
    <t>Minimum Wage: ₹15,662</t>
  </si>
  <si>
    <t>ESIC: Not Applicable</t>
  </si>
  <si>
    <t>Basic:</t>
  </si>
  <si>
    <t>50% of Gross (rounded up)</t>
  </si>
  <si>
    <t>Examples:</t>
  </si>
  <si>
    <t>₹50,000 → ₹25,000</t>
  </si>
  <si>
    <t>₹88,082 → ₹44,041</t>
  </si>
  <si>
    <t>₹1,00,000 → ₹50,000</t>
  </si>
  <si>
    <t>HRA: 40% of Basic</t>
  </si>
  <si>
    <t>ESIC excluded due to wage ceiling; PF excluded as managerial grade.</t>
  </si>
  <si>
    <t>STATUTORY APPLICABILITY MATRIX (GRADE-WISE)</t>
  </si>
  <si>
    <t>ESIC</t>
  </si>
  <si>
    <t>PF</t>
  </si>
  <si>
    <t>KEY CONTROLS BUILT INTO MATRIX</t>
  </si>
  <si>
    <t>Minimum wage fully protected</t>
  </si>
  <si>
    <t>Basic varies by grade &amp; gross</t>
  </si>
  <si>
    <t>ESIC applied as per old rules</t>
  </si>
  <si>
    <t>PF threshold respected</t>
  </si>
  <si>
    <t>Allowances capped and justified</t>
  </si>
  <si>
    <t>Gross always equals components</t>
  </si>
  <si>
    <t>ESIC employee contribution is calculated at 0.75% of gross wages.</t>
  </si>
  <si>
    <t>Allowances such as HRA, conveyance, washing allowance, and other allowances are included.</t>
  </si>
  <si>
    <t>Gross Wages = Basic + HRA +  Other Allowance</t>
  </si>
  <si>
    <t>4. Other Allowance (Balancing Component)</t>
  </si>
  <si>
    <t>5. Gross Wage Integrity</t>
  </si>
  <si>
    <t>6. ESIC Applicability and Contribution (Old Rules)</t>
  </si>
  <si>
    <t>7. Provident Fund (PF) Applicability</t>
  </si>
  <si>
    <t>8. Professional Tax</t>
  </si>
  <si>
    <t xml:space="preserve">    ESI contribution has been determined in accordance with the Employees’ State Insurance Act, 1948.
    Employees whose wages do not exceed ₹21,000 per month are covered under ESI, and contribution has been calculated on total ESI wages as defined under Section 2(9) of the Act.
    Salary components such as allowances paid on a regular basis form part of ESI wages, and no artificial salary splitting has been adopted to avoid ESI coverage</t>
  </si>
  <si>
    <t xml:space="preserve">   Provident Fund contribution has been calculated on ₹15,000 in accordance with Para 26A of the EPF Scheme, 1952.
   The Supreme Court judgment in Vivekananda Vidyamandir (2019) clarifies the definition of basic wages but does not mandate PF contribution beyond the statutory wage ceiling.
   Since no joint option for higher PF has been exercised, PF contribution has been correctly restricted to ₹15,000.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</si>
</sst>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x14ac:knownFonts="1">
    <font>
      <sz val="11"/>
      <color theme="1"/>
      <name val="Calibri"/>
      <family val="2"/>
      <scheme val="minor"/>
    </font>
    <font>
      <b/>
      <sz val="14"/>
      <name val="Calibri"/>
      <family val="2"/>
    </font>
    <font>
      <b/>
      <sz val="11"/>
      <color rgb="FFFFFFFF"/>
      <name val="Calibri"/>
      <family val="2"/>
    </font>
    <font>
      <b/>
      <sz val="11"/>
      <name val="Calibri"/>
      <family val="2"/>
    </font>
    <font>
      <sz val="11"/>
      <color rgb="FF1F4E79"/>
      <name val="Calibri"/>
      <family val="2"/>
    </font>
    <font>
      <i/>
      <sz val="11"/>
      <color rgb="FF555555"/>
      <name val="Calibri"/>
      <family val="2"/>
    </font>
    <font>
      <b/>
      <sz val="11"/>
      <color theme="1"/>
      <name val="Calibri"/>
      <family val="2"/>
      <scheme val="minor"/>
    </font>
    <font>
      <b/>
      <sz val="11"/>
      <color rgb="FFFFFFFF"/>
      <name val="Calibri"/>
      <family val="2"/>
    </font>
    <font>
      <sz val="8"/>
      <name val="Calibri"/>
      <family val="2"/>
      <scheme val="minor"/>
    </font>
    <font>
      <b/>
      <sz val="11"/>
      <name val="Calibri"/>
      <family val="2"/>
      <scheme val="minor"/>
    </font>
    <font>
      <b/>
      <sz val="24"/>
      <name val="Calibri"/>
      <family val="2"/>
      <scheme val="minor"/>
    </font>
    <font>
      <b/>
      <sz val="18"/>
      <color theme="1"/>
      <name val="Calibri"/>
      <family val="2"/>
      <scheme val="minor"/>
    </font>
    <font>
      <b/>
      <i/>
      <sz val="11"/>
      <color theme="1"/>
      <name val="Calibri"/>
      <family val="2"/>
      <scheme val="minor"/>
    </font>
    <font>
      <b/>
      <sz val="13.5"/>
      <color theme="1"/>
      <name val="Calibri"/>
      <family val="2"/>
      <scheme val="minor"/>
    </font>
    <font>
      <b/>
      <sz val="14"/>
      <color theme="1"/>
      <name val="Calibri"/>
      <family val="2"/>
      <scheme val="minor"/>
    </font>
    <font>
      <b/>
      <sz val="24"/>
      <color theme="1"/>
      <name val="Calibri"/>
      <family val="2"/>
      <scheme val="minor"/>
    </font>
    <font>
      <b/>
      <sz val="11"/>
      <color theme="0"/>
      <name val="Calibri"/>
      <family val="2"/>
    </font>
    <font>
      <b/>
      <sz val="9"/>
      <color indexed="81"/>
      <name val="Tahoma"/>
      <family val="2"/>
    </font>
  </fonts>
  <fills count="14">
    <fill>
      <patternFill patternType="none"/>
    </fill>
    <fill>
      <patternFill patternType="gray125"/>
    </fill>
    <fill>
      <patternFill patternType="solid">
        <fgColor rgb="FF1F4E79"/>
      </patternFill>
    </fill>
    <fill>
      <patternFill patternType="solid">
        <fgColor theme="0"/>
        <bgColor indexed="64"/>
      </patternFill>
    </fill>
    <fill>
      <patternFill patternType="solid">
        <fgColor rgb="FF92D050"/>
        <bgColor indexed="64"/>
      </patternFill>
    </fill>
    <fill>
      <patternFill patternType="solid">
        <fgColor theme="9" tint="-0.249977111117893"/>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rgb="FFFF0000"/>
        <bgColor indexed="64"/>
      </patternFill>
    </fill>
    <fill>
      <patternFill patternType="solid">
        <fgColor theme="7" tint="0.39997558519241921"/>
        <bgColor indexed="64"/>
      </patternFill>
    </fill>
    <fill>
      <patternFill patternType="solid">
        <fgColor rgb="FF7030A0"/>
        <bgColor indexed="64"/>
      </patternFill>
    </fill>
    <fill>
      <patternFill patternType="solid">
        <fgColor theme="3"/>
        <bgColor indexed="64"/>
      </patternFill>
    </fill>
    <fill>
      <patternFill patternType="solid">
        <fgColor theme="9"/>
        <bgColor indexed="64"/>
      </patternFill>
    </fill>
  </fills>
  <borders count="17">
    <border>
      <left/>
      <right/>
      <top/>
      <bottom/>
      <diagonal/>
    </border>
    <border>
      <left style="thin">
        <color rgb="FF9E9E9E"/>
      </left>
      <right style="thin">
        <color rgb="FF9E9E9E"/>
      </right>
      <top style="thin">
        <color rgb="FF9E9E9E"/>
      </top>
      <bottom style="thin">
        <color rgb="FF9E9E9E"/>
      </bottom>
      <diagonal/>
    </border>
    <border>
      <left style="thin">
        <color indexed="64"/>
      </left>
      <right style="thin">
        <color indexed="64"/>
      </right>
      <top style="thin">
        <color indexed="64"/>
      </top>
      <bottom style="thin">
        <color indexed="64"/>
      </bottom>
      <diagonal/>
    </border>
    <border>
      <left style="thin">
        <color rgb="FF9E9E9E"/>
      </left>
      <right style="thin">
        <color rgb="FF9E9E9E"/>
      </right>
      <top style="thin">
        <color rgb="FF9E9E9E"/>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97">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3" fontId="4" fillId="0" borderId="1" xfId="0" applyNumberFormat="1" applyFont="1" applyBorder="1" applyAlignment="1">
      <alignment horizontal="right" vertical="center" wrapText="1"/>
    </xf>
    <xf numFmtId="0" fontId="0" fillId="0" borderId="1" xfId="0" applyBorder="1" applyAlignment="1">
      <alignment horizontal="left" vertical="center" wrapText="1"/>
    </xf>
    <xf numFmtId="164" fontId="4" fillId="0" borderId="1" xfId="0" applyNumberFormat="1" applyFont="1" applyBorder="1" applyAlignment="1">
      <alignment horizontal="right" vertical="center" wrapText="1"/>
    </xf>
    <xf numFmtId="0" fontId="6" fillId="0" borderId="0" xfId="0" applyFont="1"/>
    <xf numFmtId="3" fontId="0" fillId="0" borderId="0" xfId="0" applyNumberFormat="1"/>
    <xf numFmtId="0" fontId="6" fillId="3" borderId="0" xfId="0" applyFont="1" applyFill="1"/>
    <xf numFmtId="0" fontId="2" fillId="2" borderId="3"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6" fillId="3" borderId="2" xfId="0" applyFont="1" applyFill="1" applyBorder="1" applyAlignment="1">
      <alignment horizontal="center" vertical="center" wrapText="1"/>
    </xf>
    <xf numFmtId="3" fontId="9" fillId="8" borderId="2" xfId="0" applyNumberFormat="1" applyFont="1" applyFill="1" applyBorder="1" applyAlignment="1">
      <alignment horizontal="right" vertical="center" wrapText="1"/>
    </xf>
    <xf numFmtId="0" fontId="9" fillId="3" borderId="2" xfId="0" applyFont="1" applyFill="1" applyBorder="1" applyAlignment="1">
      <alignment horizontal="left" vertical="center"/>
    </xf>
    <xf numFmtId="0" fontId="9" fillId="3" borderId="2" xfId="0" applyFont="1" applyFill="1" applyBorder="1" applyAlignment="1" applyProtection="1">
      <alignment horizontal="left" vertical="center"/>
      <protection locked="0"/>
    </xf>
    <xf numFmtId="3" fontId="9" fillId="3" borderId="2" xfId="0" applyNumberFormat="1" applyFont="1" applyFill="1" applyBorder="1" applyAlignment="1">
      <alignment horizontal="right"/>
    </xf>
    <xf numFmtId="0" fontId="9" fillId="3" borderId="2" xfId="0" applyFont="1" applyFill="1" applyBorder="1" applyAlignment="1" applyProtection="1">
      <alignment horizontal="center" vertical="center" wrapText="1"/>
      <protection locked="0"/>
    </xf>
    <xf numFmtId="0" fontId="9" fillId="6" borderId="2" xfId="0" applyFont="1" applyFill="1" applyBorder="1" applyAlignment="1" applyProtection="1">
      <alignment horizontal="center" vertical="center"/>
      <protection locked="0"/>
    </xf>
    <xf numFmtId="0" fontId="9" fillId="6" borderId="2" xfId="0" applyFont="1" applyFill="1" applyBorder="1" applyAlignment="1" applyProtection="1">
      <alignment horizontal="center" vertical="center" wrapText="1"/>
      <protection locked="0"/>
    </xf>
    <xf numFmtId="0" fontId="9" fillId="3" borderId="2" xfId="0" applyFont="1" applyFill="1" applyBorder="1" applyAlignment="1">
      <alignment horizontal="center" vertical="center"/>
    </xf>
    <xf numFmtId="0" fontId="3" fillId="3" borderId="2" xfId="0" applyFont="1" applyFill="1" applyBorder="1" applyAlignment="1">
      <alignment horizontal="center" vertical="center"/>
    </xf>
    <xf numFmtId="3" fontId="9" fillId="7" borderId="2" xfId="0" applyNumberFormat="1" applyFont="1" applyFill="1" applyBorder="1" applyAlignment="1">
      <alignment horizontal="right" vertical="center"/>
    </xf>
    <xf numFmtId="3" fontId="9" fillId="6" borderId="2" xfId="0" applyNumberFormat="1" applyFont="1" applyFill="1" applyBorder="1" applyAlignment="1">
      <alignment horizontal="right" vertical="center"/>
    </xf>
    <xf numFmtId="3" fontId="9" fillId="8" borderId="2" xfId="0" applyNumberFormat="1" applyFont="1" applyFill="1" applyBorder="1" applyAlignment="1">
      <alignment horizontal="right" vertical="center"/>
    </xf>
    <xf numFmtId="3" fontId="3" fillId="8" borderId="2" xfId="0" applyNumberFormat="1" applyFont="1" applyFill="1" applyBorder="1" applyAlignment="1">
      <alignment horizontal="right" vertical="center"/>
    </xf>
    <xf numFmtId="3" fontId="9" fillId="3" borderId="2" xfId="0" applyNumberFormat="1" applyFont="1" applyFill="1" applyBorder="1" applyAlignment="1">
      <alignment horizontal="right" vertical="center"/>
    </xf>
    <xf numFmtId="0" fontId="3" fillId="3" borderId="2" xfId="0" applyFont="1" applyFill="1" applyBorder="1" applyAlignment="1">
      <alignment horizontal="left" vertical="center"/>
    </xf>
    <xf numFmtId="0" fontId="3" fillId="3" borderId="2" xfId="0" applyFont="1" applyFill="1" applyBorder="1" applyAlignment="1">
      <alignment horizontal="right" vertical="center"/>
    </xf>
    <xf numFmtId="3" fontId="3" fillId="6" borderId="2" xfId="0" applyNumberFormat="1" applyFont="1" applyFill="1" applyBorder="1" applyAlignment="1">
      <alignment horizontal="center" vertical="center"/>
    </xf>
    <xf numFmtId="3" fontId="3" fillId="6" borderId="2" xfId="0" applyNumberFormat="1" applyFont="1" applyFill="1" applyBorder="1" applyAlignment="1">
      <alignment horizontal="right" vertical="center"/>
    </xf>
    <xf numFmtId="3" fontId="3" fillId="3" borderId="2" xfId="0" applyNumberFormat="1" applyFont="1" applyFill="1" applyBorder="1" applyAlignment="1">
      <alignment horizontal="right" vertical="center"/>
    </xf>
    <xf numFmtId="0" fontId="9" fillId="3" borderId="2" xfId="0" applyFont="1" applyFill="1" applyBorder="1"/>
    <xf numFmtId="3" fontId="9" fillId="3" borderId="2" xfId="0" applyNumberFormat="1" applyFont="1" applyFill="1" applyBorder="1"/>
    <xf numFmtId="0" fontId="10" fillId="3" borderId="4" xfId="0" applyFont="1" applyFill="1" applyBorder="1" applyAlignment="1">
      <alignment horizontal="center" vertical="center"/>
    </xf>
    <xf numFmtId="0" fontId="9" fillId="3" borderId="5" xfId="0" applyFont="1" applyFill="1" applyBorder="1"/>
    <xf numFmtId="0" fontId="9" fillId="3" borderId="6" xfId="0" applyFont="1" applyFill="1" applyBorder="1"/>
    <xf numFmtId="0" fontId="11" fillId="3" borderId="5" xfId="0" applyFont="1" applyFill="1" applyBorder="1" applyAlignment="1">
      <alignment vertical="center"/>
    </xf>
    <xf numFmtId="0" fontId="6" fillId="3" borderId="5" xfId="0" applyFont="1" applyFill="1" applyBorder="1"/>
    <xf numFmtId="0" fontId="6" fillId="3" borderId="5" xfId="0" applyFont="1" applyFill="1" applyBorder="1" applyAlignment="1">
      <alignment horizontal="left" vertical="center" indent="1"/>
    </xf>
    <xf numFmtId="0" fontId="6" fillId="3" borderId="5" xfId="0" applyFont="1" applyFill="1" applyBorder="1" applyAlignment="1">
      <alignment horizontal="left" vertical="center" indent="2"/>
    </xf>
    <xf numFmtId="0" fontId="12" fillId="3" borderId="5" xfId="0" applyFont="1" applyFill="1" applyBorder="1" applyAlignment="1">
      <alignment horizontal="left" vertical="center" indent="2"/>
    </xf>
    <xf numFmtId="0" fontId="6" fillId="3" borderId="6" xfId="0" applyFont="1" applyFill="1" applyBorder="1"/>
    <xf numFmtId="0" fontId="13" fillId="3" borderId="5" xfId="0" applyFont="1" applyFill="1" applyBorder="1" applyAlignment="1">
      <alignment vertical="center"/>
    </xf>
    <xf numFmtId="0" fontId="14" fillId="3" borderId="5" xfId="0" applyFont="1" applyFill="1" applyBorder="1"/>
    <xf numFmtId="0" fontId="6" fillId="0" borderId="7" xfId="0" applyFont="1" applyBorder="1"/>
    <xf numFmtId="0" fontId="0" fillId="0" borderId="0" xfId="0" applyAlignment="1">
      <alignment wrapText="1"/>
    </xf>
    <xf numFmtId="0" fontId="0" fillId="3" borderId="10" xfId="0" applyFill="1" applyBorder="1" applyAlignment="1">
      <alignment wrapText="1"/>
    </xf>
    <xf numFmtId="0" fontId="0" fillId="3" borderId="0" xfId="0" applyFill="1" applyAlignment="1">
      <alignment wrapText="1"/>
    </xf>
    <xf numFmtId="0" fontId="0" fillId="3" borderId="11" xfId="0" applyFill="1" applyBorder="1" applyAlignment="1">
      <alignment wrapText="1"/>
    </xf>
    <xf numFmtId="0" fontId="6" fillId="3" borderId="12" xfId="0" applyFont="1" applyFill="1" applyBorder="1" applyAlignment="1">
      <alignment horizontal="center" vertical="center" wrapText="1"/>
    </xf>
    <xf numFmtId="0" fontId="6" fillId="3" borderId="12" xfId="0" applyFont="1" applyFill="1" applyBorder="1" applyAlignment="1">
      <alignment vertical="center" wrapText="1"/>
    </xf>
    <xf numFmtId="0" fontId="0" fillId="3" borderId="2" xfId="0" applyFill="1" applyBorder="1" applyAlignment="1">
      <alignment vertical="center" wrapText="1"/>
    </xf>
    <xf numFmtId="0" fontId="6" fillId="3" borderId="10" xfId="0" applyFont="1" applyFill="1" applyBorder="1" applyAlignment="1">
      <alignment wrapText="1"/>
    </xf>
    <xf numFmtId="0" fontId="13" fillId="3" borderId="10" xfId="0" applyFont="1" applyFill="1" applyBorder="1" applyAlignment="1">
      <alignment vertical="center" wrapText="1"/>
    </xf>
    <xf numFmtId="0" fontId="0" fillId="3" borderId="10" xfId="0" applyFill="1" applyBorder="1" applyAlignment="1">
      <alignment horizontal="left" vertical="center" wrapText="1"/>
    </xf>
    <xf numFmtId="0" fontId="6" fillId="3" borderId="10" xfId="0" applyFont="1" applyFill="1" applyBorder="1" applyAlignment="1">
      <alignment horizontal="left" vertical="center" wrapText="1"/>
    </xf>
    <xf numFmtId="0" fontId="0" fillId="0" borderId="0" xfId="0" applyAlignment="1">
      <alignment vertical="center" wrapText="1"/>
    </xf>
    <xf numFmtId="0" fontId="6" fillId="3" borderId="13" xfId="0" applyFont="1" applyFill="1" applyBorder="1" applyAlignment="1">
      <alignment horizontal="center" vertical="center" wrapText="1"/>
    </xf>
    <xf numFmtId="0" fontId="0" fillId="3" borderId="12" xfId="0" applyFill="1" applyBorder="1" applyAlignment="1">
      <alignment vertical="center" wrapText="1"/>
    </xf>
    <xf numFmtId="0" fontId="0" fillId="3" borderId="13" xfId="0" applyFill="1" applyBorder="1" applyAlignment="1">
      <alignment vertical="center" wrapText="1"/>
    </xf>
    <xf numFmtId="0" fontId="0" fillId="0" borderId="14" xfId="0" applyBorder="1" applyAlignment="1">
      <alignment wrapText="1"/>
    </xf>
    <xf numFmtId="0" fontId="0" fillId="0" borderId="15" xfId="0" applyBorder="1" applyAlignment="1">
      <alignment wrapText="1"/>
    </xf>
    <xf numFmtId="0" fontId="0" fillId="0" borderId="16" xfId="0" applyBorder="1" applyAlignment="1">
      <alignment wrapText="1"/>
    </xf>
    <xf numFmtId="0" fontId="9" fillId="3" borderId="2" xfId="0" applyFont="1" applyFill="1" applyBorder="1" applyAlignment="1">
      <alignment horizontal="center" vertical="center" wrapText="1"/>
    </xf>
    <xf numFmtId="0" fontId="9" fillId="3" borderId="2" xfId="0" applyFont="1" applyFill="1" applyBorder="1" applyAlignment="1">
      <alignment horizontal="left" vertical="center" wrapText="1"/>
    </xf>
    <xf numFmtId="0" fontId="9" fillId="3" borderId="2" xfId="0" applyFont="1" applyFill="1" applyBorder="1" applyAlignment="1" applyProtection="1">
      <alignment horizontal="left" vertical="center" wrapText="1"/>
      <protection locked="0"/>
    </xf>
    <xf numFmtId="3" fontId="9" fillId="3" borderId="2" xfId="0" applyNumberFormat="1" applyFont="1" applyFill="1" applyBorder="1" applyAlignment="1">
      <alignment horizontal="right" wrapText="1"/>
    </xf>
    <xf numFmtId="0" fontId="3" fillId="3" borderId="2" xfId="0" applyFont="1" applyFill="1" applyBorder="1" applyAlignment="1">
      <alignment horizontal="center" vertical="center" wrapText="1"/>
    </xf>
    <xf numFmtId="3" fontId="9" fillId="7" borderId="2" xfId="0" applyNumberFormat="1" applyFont="1" applyFill="1" applyBorder="1" applyAlignment="1">
      <alignment horizontal="right" vertical="center" wrapText="1"/>
    </xf>
    <xf numFmtId="3" fontId="9" fillId="6" borderId="2" xfId="0" applyNumberFormat="1" applyFont="1" applyFill="1" applyBorder="1" applyAlignment="1">
      <alignment horizontal="right" vertical="center" wrapText="1"/>
    </xf>
    <xf numFmtId="3" fontId="3" fillId="8" borderId="2" xfId="0" applyNumberFormat="1" applyFont="1" applyFill="1" applyBorder="1" applyAlignment="1">
      <alignment horizontal="right" vertical="center" wrapText="1"/>
    </xf>
    <xf numFmtId="3" fontId="9" fillId="3" borderId="2" xfId="0" applyNumberFormat="1" applyFont="1" applyFill="1" applyBorder="1" applyAlignment="1">
      <alignment horizontal="right" vertical="center" wrapText="1"/>
    </xf>
    <xf numFmtId="0" fontId="3" fillId="3" borderId="2" xfId="0" applyFont="1" applyFill="1" applyBorder="1" applyAlignment="1">
      <alignment horizontal="left" vertical="center" wrapText="1"/>
    </xf>
    <xf numFmtId="0" fontId="3" fillId="3" borderId="2" xfId="0" applyFont="1" applyFill="1" applyBorder="1" applyAlignment="1">
      <alignment horizontal="right" vertical="center" wrapText="1"/>
    </xf>
    <xf numFmtId="3" fontId="3" fillId="6" borderId="2" xfId="0" applyNumberFormat="1" applyFont="1" applyFill="1" applyBorder="1" applyAlignment="1">
      <alignment horizontal="center" vertical="center" wrapText="1"/>
    </xf>
    <xf numFmtId="3" fontId="3" fillId="6" borderId="2" xfId="0" applyNumberFormat="1" applyFont="1" applyFill="1" applyBorder="1" applyAlignment="1">
      <alignment horizontal="right" vertical="center" wrapText="1"/>
    </xf>
    <xf numFmtId="3" fontId="3" fillId="3" borderId="2" xfId="0" applyNumberFormat="1" applyFont="1" applyFill="1" applyBorder="1" applyAlignment="1">
      <alignment horizontal="right" vertical="center" wrapText="1"/>
    </xf>
    <xf numFmtId="0" fontId="9" fillId="3" borderId="2" xfId="0" applyFont="1" applyFill="1" applyBorder="1" applyAlignment="1">
      <alignment wrapText="1"/>
    </xf>
    <xf numFmtId="0" fontId="0" fillId="9" borderId="0" xfId="0" applyFill="1"/>
    <xf numFmtId="3" fontId="9" fillId="10" borderId="2" xfId="0" applyNumberFormat="1" applyFont="1" applyFill="1" applyBorder="1" applyAlignment="1">
      <alignment horizontal="right" vertical="center"/>
    </xf>
    <xf numFmtId="0" fontId="16" fillId="11" borderId="3" xfId="0" applyFont="1" applyFill="1" applyBorder="1" applyAlignment="1">
      <alignment horizontal="center" vertical="center" wrapText="1"/>
    </xf>
    <xf numFmtId="0" fontId="16" fillId="12" borderId="3" xfId="0" applyFont="1" applyFill="1" applyBorder="1" applyAlignment="1">
      <alignment horizontal="center" vertical="center" wrapText="1"/>
    </xf>
    <xf numFmtId="0" fontId="3" fillId="13" borderId="3" xfId="0" applyFont="1" applyFill="1" applyBorder="1" applyAlignment="1">
      <alignment horizontal="center" vertical="center" wrapText="1"/>
    </xf>
    <xf numFmtId="0" fontId="6" fillId="3" borderId="5" xfId="0" applyFont="1" applyFill="1" applyBorder="1" applyAlignment="1">
      <alignment wrapText="1"/>
    </xf>
    <xf numFmtId="0" fontId="5" fillId="0" borderId="0" xfId="0" applyFont="1" applyAlignment="1">
      <alignment horizontal="left" vertical="center" wrapText="1"/>
    </xf>
    <xf numFmtId="0" fontId="0" fillId="0" borderId="0" xfId="0"/>
    <xf numFmtId="0" fontId="11" fillId="3" borderId="5" xfId="0" applyFont="1" applyFill="1" applyBorder="1" applyAlignment="1">
      <alignment horizontal="left" vertical="center" wrapText="1"/>
    </xf>
    <xf numFmtId="0" fontId="0" fillId="0" borderId="0" xfId="0" applyAlignment="1">
      <alignment wrapText="1"/>
    </xf>
    <xf numFmtId="0" fontId="0" fillId="0" borderId="11" xfId="0" applyBorder="1"/>
    <xf numFmtId="0" fontId="15" fillId="3" borderId="4" xfId="0" applyFont="1" applyFill="1" applyBorder="1" applyAlignment="1">
      <alignment horizontal="center" vertical="center" wrapText="1"/>
    </xf>
    <xf numFmtId="0" fontId="0" fillId="0" borderId="8" xfId="0" applyBorder="1"/>
    <xf numFmtId="0" fontId="0" fillId="0" borderId="9" xfId="0" applyBorder="1"/>
    <xf numFmtId="0" fontId="0" fillId="3" borderId="5" xfId="0" applyFill="1" applyBorder="1" applyAlignment="1">
      <alignment horizontal="center" wrapText="1"/>
    </xf>
  </cellXfs>
  <cellStyles count="1">
    <cellStyle name="Normal" xfId="0" builtinId="0"/>
  </cellStyles>
  <dxfs count="59">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numFmt numFmtId="3" formatCode="#,##0"/>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Calibri"/>
        <family val="2"/>
        <scheme val="minor"/>
      </font>
      <numFmt numFmtId="3" formatCode="#,##0"/>
      <fill>
        <patternFill>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Calibri"/>
        <family val="2"/>
        <scheme val="minor"/>
      </font>
      <numFmt numFmtId="3" formatCode="#,##0"/>
      <fill>
        <patternFill>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numFmt numFmtId="3" formatCode="#,##0"/>
      <fill>
        <patternFill>
          <fgColor indexed="64"/>
          <bgColor theme="0"/>
        </patternFill>
      </fill>
      <alignment horizontal="righ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numFmt numFmtId="3" formatCode="#,##0"/>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numFmt numFmtId="0" formatCode="General"/>
      <fill>
        <patternFill>
          <fgColor indexed="64"/>
          <bgColor theme="0"/>
        </patternFill>
      </fill>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condense val="0"/>
        <extend val="0"/>
        <outline val="0"/>
        <shadow val="0"/>
        <u val="none"/>
        <vertAlign val="baseline"/>
        <sz val="11"/>
        <color auto="1"/>
        <name val="Calibri"/>
        <family val="2"/>
      </font>
      <fill>
        <patternFill>
          <fgColor indexed="64"/>
          <bgColor theme="0"/>
        </patternFill>
      </fill>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numFmt numFmtId="3" formatCode="#,##0"/>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family val="2"/>
        <scheme val="minor"/>
      </font>
      <numFmt numFmtId="3" formatCode="#,##0"/>
      <fill>
        <patternFill>
          <fgColor indexed="64"/>
          <bgColor theme="0"/>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family val="2"/>
        <scheme val="minor"/>
      </font>
      <numFmt numFmtId="3" formatCode="#,##0"/>
      <fill>
        <patternFill>
          <fgColor indexed="64"/>
          <bgColor theme="0"/>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numFmt numFmtId="3" formatCode="#,##0"/>
      <fill>
        <patternFill>
          <fgColor indexed="64"/>
          <bgColor theme="0"/>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numFmt numFmtId="3" formatCode="#,##0"/>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numFmt numFmtId="0" formatCode="General"/>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condense val="0"/>
        <extend val="0"/>
        <outline val="0"/>
        <shadow val="0"/>
        <u val="none"/>
        <vertAlign val="baseline"/>
        <sz val="11"/>
        <color auto="1"/>
        <name val="Calibri"/>
        <family val="2"/>
      </font>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07221E-5FAF-4188-9B86-CD59C8BF2E62}" name="MonthlyPayroll3" displayName="MonthlyPayroll3" ref="A1:AB302" dataDxfId="58">
  <autoFilter ref="A1:AB302" xr:uid="{B207221E-5FAF-4188-9B86-CD59C8BF2E62}"/>
  <tableColumns count="28">
    <tableColumn id="1" xr3:uid="{0929B213-ADE9-4092-A6A3-F27C2D47DC97}" name="S.No." dataDxfId="57"/>
    <tableColumn id="2" xr3:uid="{9C2CC5CD-32B2-47B2-B3C8-1561C632F8C1}" name="Name" dataDxfId="56"/>
    <tableColumn id="3" xr3:uid="{ADBBCDED-3A1B-475A-8F7E-AC6FC6F7E82F}" name="Designation" dataDxfId="55"/>
    <tableColumn id="4" xr3:uid="{6ABB4CC5-D57F-471D-81CF-EAC94C392D0E}" name="Skill Category" dataDxfId="54"/>
    <tableColumn id="5" xr3:uid="{B8530449-722C-4EF1-AF1D-F50EA1C06D89}" name="Grade" dataDxfId="53"/>
    <tableColumn id="29" xr3:uid="{F8180995-1439-4813-9190-78B31AD431EA}" name="Minimum _x000a_Wage" dataDxfId="52"/>
    <tableColumn id="6" xr3:uid="{1649489E-4E7C-4230-8BE5-22C2D33EF288}" name="Actual _x000a_Gross" dataDxfId="51"/>
    <tableColumn id="7" xr3:uid="{48091774-05B3-4B28-BC55-B5CDB7B6FA55}" name="PF Past _x000a_Service" dataDxfId="50"/>
    <tableColumn id="8" xr3:uid="{136E7CCA-11D4-45F9-B883-1257CCF07095}" name="PF _x000a_Applicability" dataDxfId="49"/>
    <tableColumn id="9" xr3:uid="{8CFB1544-6333-4A16-9D61-175A089D9394}" name="ESIC _x000a_Applicability" dataDxfId="48"/>
    <tableColumn id="25" xr3:uid="{AA22BFE9-85B1-4CD9-87C4-0A703A9172B9}" name="Total _x000a_Days" dataDxfId="47"/>
    <tableColumn id="26" xr3:uid="{CAC6915B-C8AA-4B9F-A3C5-B418D3F64711}" name="Loss of Pay days" dataDxfId="46"/>
    <tableColumn id="27" xr3:uid="{DABAF606-44C7-4C6A-9F07-ACBFF4F65E72}" name="Total Payable Days" dataDxfId="45">
      <calculatedColumnFormula>MonthlyPayroll3[[#This Row],[Total 
Days]]-MonthlyPayroll3[[#This Row],[Loss of Pay days]]</calculatedColumnFormula>
    </tableColumn>
    <tableColumn id="10" xr3:uid="{5035E5F6-7962-4EC3-B802-4B554FAA2EE9}" name="Basic" dataDxfId="44"/>
    <tableColumn id="11" xr3:uid="{FCB087FC-4731-44B5-B0E6-5D3533463D28}" name="HRA" dataDxfId="43"/>
    <tableColumn id="14" xr3:uid="{03A6B66A-6169-45ED-B3C8-11A5DA584B3F}" name="Other allowance" dataDxfId="42">
      <calculatedColumnFormula>IF(G2="","",MAX(0,G2-(N2+O2+#REF!+#REF!)))</calculatedColumnFormula>
    </tableColumn>
    <tableColumn id="28" xr3:uid="{0AB78602-B119-4D99-B838-C3039F81CFDE}" name="Attendance _x000a_Bonus" dataDxfId="41">
      <calculatedColumnFormula>IF(MonthlyPayroll3[[#This Row],[Loss of Pay days]]=0,2000,0)</calculatedColumnFormula>
    </tableColumn>
    <tableColumn id="15" xr3:uid="{E652C40C-ECEF-4457-B19A-9DF686F99822}" name="Gross" dataDxfId="40"/>
    <tableColumn id="24" xr3:uid="{3277A4B0-64A8-4BCE-8C5E-1D446BCDD2EF}" name="PF wage" dataDxfId="39">
      <calculatedColumnFormula>(MonthlyPayroll[[#This Row],[PF Wage]])/MonthlyPayroll3[[#This Row],[Total 
Days]]*MonthlyPayroll3[[#This Row],[Total Payable Days]]</calculatedColumnFormula>
    </tableColumn>
    <tableColumn id="16" xr3:uid="{F2D26E9A-5EFA-472F-B021-96839186E3C1}" name="Employee PF" dataDxfId="38"/>
    <tableColumn id="30" xr3:uid="{97AE08A0-925B-45F6-8D68-A66D2C5CF658}" name="ESI wage" dataDxfId="37">
      <calculatedColumnFormula>(MonthlyPayroll[[#This Row],[Esi wage]])/MonthlyPayroll3[[#This Row],[Total 
Days]]*MonthlyPayroll3[[#This Row],[Total Payable Days]]</calculatedColumnFormula>
    </tableColumn>
    <tableColumn id="17" xr3:uid="{6E0A10C3-0617-4374-B9D7-1ECFB92C4517}" name="Employee_x000a_ ESIC" dataDxfId="36"/>
    <tableColumn id="18" xr3:uid="{0DD6BE47-2D1B-4C24-B2B4-82DB744DF341}" name="PT" dataDxfId="35">
      <calculatedColumnFormula>IF(R2="","",IF(R2&lt;=15000,0,IF(R2&lt;=20000,150,200)))</calculatedColumnFormula>
    </tableColumn>
    <tableColumn id="19" xr3:uid="{AD8B0DFD-A793-4B92-9B37-6C3113967AA6}" name="Total deduction" dataDxfId="34"/>
    <tableColumn id="20" xr3:uid="{1C4EF16A-B302-4514-9454-85679E5A3A93}" name="Net salary" dataDxfId="33"/>
    <tableColumn id="21" xr3:uid="{DC2B35A0-5391-48CE-89B5-3B8E8EE56AC1}" name="Employer PF" dataDxfId="32"/>
    <tableColumn id="22" xr3:uid="{9386FC6D-FF53-44EB-9308-E6178DA13FDD}" name="Employer ESIC" dataDxfId="31"/>
    <tableColumn id="23" xr3:uid="{3AE9D930-442C-4977-9EEF-537B899F05DE}" name="Monthly CTC" dataDxfId="3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nthlyPayroll" displayName="MonthlyPayroll" ref="A1:AC302" dataDxfId="29">
  <autoFilter ref="A1:AC302" xr:uid="{00000000-0009-0000-0100-000001000000}"/>
  <tableColumns count="29">
    <tableColumn id="1" xr3:uid="{00000000-0010-0000-0000-000001000000}" name="S.No." dataDxfId="28"/>
    <tableColumn id="2" xr3:uid="{00000000-0010-0000-0000-000002000000}" name="Name" dataDxfId="27"/>
    <tableColumn id="3" xr3:uid="{00000000-0010-0000-0000-000003000000}" name="Designation" dataDxfId="26"/>
    <tableColumn id="4" xr3:uid="{00000000-0010-0000-0000-000004000000}" name="Skill Category" dataDxfId="25"/>
    <tableColumn id="5" xr3:uid="{00000000-0010-0000-0000-000005000000}" name="Grade" dataDxfId="24"/>
    <tableColumn id="29" xr3:uid="{00000000-0010-0000-0000-00001D000000}" name="Minimum _x000a_Wage" dataDxfId="23"/>
    <tableColumn id="6" xr3:uid="{00000000-0010-0000-0000-000006000000}" name="Actual _x000a_Gross" dataDxfId="22"/>
    <tableColumn id="7" xr3:uid="{00000000-0010-0000-0000-000007000000}" name="PF Past _x000a_Service" dataDxfId="21"/>
    <tableColumn id="8" xr3:uid="{00000000-0010-0000-0000-000008000000}" name="PF _x000a_Applicability" dataDxfId="20"/>
    <tableColumn id="9" xr3:uid="{00000000-0010-0000-0000-000009000000}" name="ESIC _x000a_Applicability" dataDxfId="19"/>
    <tableColumn id="25" xr3:uid="{00000000-0010-0000-0000-000019000000}" name="Total _x000a_Days" dataDxfId="18"/>
    <tableColumn id="26" xr3:uid="{00000000-0010-0000-0000-00001A000000}" name="Loss of Pay days" dataDxfId="17"/>
    <tableColumn id="27" xr3:uid="{00000000-0010-0000-0000-00001B000000}" name="Total Payable Days" dataDxfId="16">
      <calculatedColumnFormula>MonthlyPayroll[[#This Row],[Total 
Days]]-MonthlyPayroll[[#This Row],[Loss of Pay days]]</calculatedColumnFormula>
    </tableColumn>
    <tableColumn id="10" xr3:uid="{00000000-0010-0000-0000-00000A000000}" name="Basic" dataDxfId="15"/>
    <tableColumn id="11" xr3:uid="{00000000-0010-0000-0000-00000B000000}" name="HRA" dataDxfId="14"/>
    <tableColumn id="14" xr3:uid="{00000000-0010-0000-0000-00000E000000}" name="Other allowance" dataDxfId="13">
      <calculatedColumnFormula>IF(G2="","",MAX(0,G2-(N2+O2+#REF!+#REF!)))</calculatedColumnFormula>
    </tableColumn>
    <tableColumn id="28" xr3:uid="{00000000-0010-0000-0000-00001C000000}" name="Attendance _x000a_Bonus" dataDxfId="12">
      <calculatedColumnFormula>IF(MonthlyPayroll[[#This Row],[Loss of Pay days]]=0,2000,0)</calculatedColumnFormula>
    </tableColumn>
    <tableColumn id="15" xr3:uid="{00000000-0010-0000-0000-00000F000000}" name="Gross" dataDxfId="11"/>
    <tableColumn id="30" xr3:uid="{B0286F65-3E75-4233-801E-993BC1A7227F}" name="PF Wage" dataDxfId="10">
      <calculatedColumnFormula>IF(MonthlyPayroll[[#This Row],[Basic]]&gt;15000, 15000,MonthlyPayroll[[#This Row],[Basic]])</calculatedColumnFormula>
    </tableColumn>
    <tableColumn id="16" xr3:uid="{00000000-0010-0000-0000-000010000000}" name="Employee PF" dataDxfId="9"/>
    <tableColumn id="31" xr3:uid="{AA43A93B-D445-42E9-814B-AFBE1773290D}" name="Esi wage" dataDxfId="8">
      <calculatedColumnFormula>IF(MonthlyPayroll[[#This Row],[Actual 
Gross]]&gt;21000,0,(MonthlyPayroll[[#This Row],[Basic]]+MonthlyPayroll[[#This Row],[HRA]]+MonthlyPayroll[[#This Row],[Other allowance]]))</calculatedColumnFormula>
    </tableColumn>
    <tableColumn id="17" xr3:uid="{00000000-0010-0000-0000-000011000000}" name="Employee ESIC" dataDxfId="7"/>
    <tableColumn id="18" xr3:uid="{00000000-0010-0000-0000-000012000000}" name="PT" dataDxfId="6">
      <calculatedColumnFormula>IF(R2="","",IF(R2&lt;=15000,0,IF(R2&lt;=20000,150,200)))</calculatedColumnFormula>
    </tableColumn>
    <tableColumn id="19" xr3:uid="{00000000-0010-0000-0000-000013000000}" name="Total deduction" dataDxfId="5"/>
    <tableColumn id="20" xr3:uid="{00000000-0010-0000-0000-000014000000}" name="Net salary" dataDxfId="4"/>
    <tableColumn id="21" xr3:uid="{00000000-0010-0000-0000-000015000000}" name="Employer PF" dataDxfId="3"/>
    <tableColumn id="22" xr3:uid="{00000000-0010-0000-0000-000016000000}" name="Employer ESIC" dataDxfId="2"/>
    <tableColumn id="23" xr3:uid="{00000000-0010-0000-0000-000017000000}" name="Monthly CTC" dataDxfId="1"/>
    <tableColumn id="24" xr3:uid="{00000000-0010-0000-0000-000018000000}" name="Yearly CTC"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C264C-B7CD-4996-BF05-A88213E9D71E}">
  <dimension ref="A1:AD302"/>
  <sheetViews>
    <sheetView tabSelected="1" topLeftCell="H1" workbookViewId="0">
      <selection activeCell="X16" sqref="X16"/>
    </sheetView>
  </sheetViews>
  <sheetFormatPr defaultRowHeight="14.4" x14ac:dyDescent="0.3"/>
  <cols>
    <col min="1" max="1" width="7" customWidth="1"/>
    <col min="2" max="2" width="23.5546875" bestFit="1" customWidth="1"/>
    <col min="3" max="3" width="24" bestFit="1" customWidth="1"/>
    <col min="4" max="4" width="12.77734375" customWidth="1"/>
    <col min="5" max="5" width="10.44140625" bestFit="1" customWidth="1"/>
    <col min="6" max="6" width="11.77734375" bestFit="1" customWidth="1"/>
    <col min="7" max="7" width="10.6640625" bestFit="1" customWidth="1"/>
    <col min="16" max="16" width="10.109375" customWidth="1"/>
    <col min="20" max="20" width="9.77734375" customWidth="1"/>
    <col min="22" max="22" width="9.6640625" customWidth="1"/>
    <col min="23" max="23" width="7.44140625" bestFit="1" customWidth="1"/>
  </cols>
  <sheetData>
    <row r="1" spans="1:28" ht="43.2" x14ac:dyDescent="0.3">
      <c r="A1" s="10" t="s">
        <v>24</v>
      </c>
      <c r="B1" s="10" t="s">
        <v>25</v>
      </c>
      <c r="C1" s="10" t="s">
        <v>26</v>
      </c>
      <c r="D1" s="10" t="s">
        <v>27</v>
      </c>
      <c r="E1" s="10" t="s">
        <v>28</v>
      </c>
      <c r="F1" s="11" t="s">
        <v>29</v>
      </c>
      <c r="G1" s="11" t="s">
        <v>30</v>
      </c>
      <c r="H1" s="11" t="s">
        <v>31</v>
      </c>
      <c r="I1" s="11" t="s">
        <v>32</v>
      </c>
      <c r="J1" s="11" t="s">
        <v>33</v>
      </c>
      <c r="K1" s="11" t="s">
        <v>34</v>
      </c>
      <c r="L1" s="11" t="s">
        <v>35</v>
      </c>
      <c r="M1" s="11" t="s">
        <v>36</v>
      </c>
      <c r="N1" s="12" t="s">
        <v>37</v>
      </c>
      <c r="O1" s="12" t="s">
        <v>38</v>
      </c>
      <c r="P1" s="12" t="s">
        <v>39</v>
      </c>
      <c r="Q1" s="12" t="s">
        <v>40</v>
      </c>
      <c r="R1" s="10" t="s">
        <v>41</v>
      </c>
      <c r="S1" s="86" t="s">
        <v>109</v>
      </c>
      <c r="T1" s="86" t="s">
        <v>42</v>
      </c>
      <c r="U1" s="86" t="s">
        <v>112</v>
      </c>
      <c r="V1" s="86" t="s">
        <v>113</v>
      </c>
      <c r="W1" s="86" t="s">
        <v>44</v>
      </c>
      <c r="X1" s="10" t="s">
        <v>45</v>
      </c>
      <c r="Y1" s="14" t="s">
        <v>46</v>
      </c>
      <c r="Z1" s="10" t="s">
        <v>47</v>
      </c>
      <c r="AA1" s="10" t="s">
        <v>48</v>
      </c>
      <c r="AB1" s="86" t="s">
        <v>49</v>
      </c>
    </row>
    <row r="2" spans="1:28" x14ac:dyDescent="0.3">
      <c r="A2" s="67">
        <v>1</v>
      </c>
      <c r="B2" s="68" t="s">
        <v>52</v>
      </c>
      <c r="C2" s="68" t="s">
        <v>53</v>
      </c>
      <c r="D2" s="69" t="s">
        <v>54</v>
      </c>
      <c r="E2" s="70" t="s">
        <v>55</v>
      </c>
      <c r="F2" s="20">
        <v>14051</v>
      </c>
      <c r="G2" s="22">
        <v>18000</v>
      </c>
      <c r="H2" s="71" t="s">
        <v>56</v>
      </c>
      <c r="I2" s="67" t="str">
        <f t="shared" ref="I2:I65" si="0">IF($H2="","",IF(UPPER(TRIM($H2))="YES","YES",IF($N2&gt;=BASIC_CAP,"NO","YES")))</f>
        <v>YES</v>
      </c>
      <c r="J2" s="67" t="str">
        <f t="shared" ref="J2:J65" si="1">IF($G2="","",IF($G2&lt;=ESIC_LIMIT,"YES","NO"))</f>
        <v>YES</v>
      </c>
      <c r="K2" s="67">
        <v>26</v>
      </c>
      <c r="L2" s="67">
        <v>1</v>
      </c>
      <c r="M2" s="67">
        <f>MonthlyPayroll3[[#This Row],[Total 
Days]]-MonthlyPayroll3[[#This Row],[Loss of Pay days]]</f>
        <v>25</v>
      </c>
      <c r="N2" s="72">
        <f>(MonthlyPayroll[[#This Row],[Basic]])/MonthlyPayroll3[[#This Row],[Total 
Days]]*MonthlyPayroll3[[#This Row],[Total Payable Days]]</f>
        <v>14423.076923076922</v>
      </c>
      <c r="O2" s="72">
        <f>(MonthlyPayroll[[#This Row],[HRA]])/MonthlyPayroll3[[#This Row],[Total 
Days]]*MonthlyPayroll3[[#This Row],[Total Payable Days]]</f>
        <v>0</v>
      </c>
      <c r="P2" s="72">
        <f>(MonthlyPayroll[[#This Row],[Other allowance]])/MonthlyPayroll3[[#This Row],[Total 
Days]]*MonthlyPayroll3[[#This Row],[Total Payable Days]]</f>
        <v>2884.6153846153848</v>
      </c>
      <c r="Q2" s="72">
        <f>IF(AND($G2&lt;25000,$L2&lt;=1),2000,0)</f>
        <v>2000</v>
      </c>
      <c r="R2" s="73">
        <f>SUM(MonthlyPayroll3[[#This Row],[Basic]:[Attendance 
Bonus]])</f>
        <v>19307.692307692305</v>
      </c>
      <c r="S2" s="16">
        <f>(MonthlyPayroll[[#This Row],[PF Wage]])/MonthlyPayroll3[[#This Row],[Total 
Days]]*MonthlyPayroll3[[#This Row],[Total Payable Days]]</f>
        <v>14423.076923076922</v>
      </c>
      <c r="T2" s="16">
        <f t="shared" ref="T2:T24" si="2">ROUND(IF(G2&gt;=25000, S2*25%, S2*12%),0)</f>
        <v>1731</v>
      </c>
      <c r="U2" s="16">
        <f>(MonthlyPayroll[[#This Row],[Esi wage]])/MonthlyPayroll3[[#This Row],[Total 
Days]]*MonthlyPayroll3[[#This Row],[Total Payable Days]]</f>
        <v>17307.692307692305</v>
      </c>
      <c r="V2" s="16">
        <f>0.75%*MonthlyPayroll3[[#This Row],[ESI wage]]</f>
        <v>129.80769230769229</v>
      </c>
      <c r="W2" s="74">
        <f t="shared" ref="W2:W24" si="3">IF(R2="","",IF(R2&lt;=15000,0,IF(R2&lt;=20000,150,200)))</f>
        <v>150</v>
      </c>
      <c r="X2" s="73">
        <f>MonthlyPayroll3[[#This Row],[Employee PF]]+MonthlyPayroll3[[#This Row],[Employee
 ESIC]]+MonthlyPayroll3[[#This Row],[PT]]</f>
        <v>2010.8076923076924</v>
      </c>
      <c r="Y2" s="72">
        <f>R2 - X2</f>
        <v>17296.884615384613</v>
      </c>
      <c r="Z2" s="75">
        <f t="shared" ref="Z2:Z24" si="4">IF(I2="YES",
   IF(G2&gt;=25000,0, ROUND(MIN(N2,15000)*13%,0)),
   0
)</f>
        <v>1875</v>
      </c>
      <c r="AA2" s="75">
        <f>IF(J2="YES",
   ROUND((R2 ) * 3.25%, 0),
   0
)</f>
        <v>628</v>
      </c>
      <c r="AB2" s="16">
        <f t="shared" ref="AB2:AB24" si="5">IF($R2="","",$R2+$Z2+$AA2)</f>
        <v>21810.692307692305</v>
      </c>
    </row>
    <row r="3" spans="1:28" x14ac:dyDescent="0.3">
      <c r="A3" s="67">
        <v>2</v>
      </c>
      <c r="B3" s="68" t="s">
        <v>57</v>
      </c>
      <c r="C3" s="68" t="s">
        <v>58</v>
      </c>
      <c r="D3" s="69" t="s">
        <v>54</v>
      </c>
      <c r="E3" s="70" t="s">
        <v>59</v>
      </c>
      <c r="F3" s="20">
        <v>14051</v>
      </c>
      <c r="G3" s="22">
        <v>20000</v>
      </c>
      <c r="H3" s="71" t="s">
        <v>56</v>
      </c>
      <c r="I3" s="67" t="str">
        <f t="shared" si="0"/>
        <v>YES</v>
      </c>
      <c r="J3" s="67" t="str">
        <f t="shared" si="1"/>
        <v>YES</v>
      </c>
      <c r="K3" s="67">
        <v>26</v>
      </c>
      <c r="L3" s="67">
        <v>13</v>
      </c>
      <c r="M3" s="67">
        <f>MonthlyPayroll3[[#This Row],[Total 
Days]]-MonthlyPayroll3[[#This Row],[Loss of Pay days]]</f>
        <v>13</v>
      </c>
      <c r="N3" s="72">
        <f>(MonthlyPayroll[[#This Row],[Basic]])/MonthlyPayroll3[[#This Row],[Total 
Days]]*MonthlyPayroll3[[#This Row],[Total Payable Days]]</f>
        <v>7500</v>
      </c>
      <c r="O3" s="72">
        <f>(MonthlyPayroll[[#This Row],[HRA]])/MonthlyPayroll3[[#This Row],[Total 
Days]]*MonthlyPayroll3[[#This Row],[Total Payable Days]]</f>
        <v>0</v>
      </c>
      <c r="P3" s="72">
        <f>(MonthlyPayroll[[#This Row],[Other allowance]])/MonthlyPayroll3[[#This Row],[Total 
Days]]*MonthlyPayroll3[[#This Row],[Total Payable Days]]</f>
        <v>2500</v>
      </c>
      <c r="Q3" s="72">
        <f t="shared" ref="Q3:Q24" si="6">IF(AND($G3&lt;25000,$L3&lt;=1),2000,0)</f>
        <v>0</v>
      </c>
      <c r="R3" s="73">
        <f>SUM(MonthlyPayroll3[[#This Row],[Basic]:[Attendance 
Bonus]])</f>
        <v>10000</v>
      </c>
      <c r="S3" s="16">
        <f>(MonthlyPayroll[[#This Row],[PF Wage]])/MonthlyPayroll3[[#This Row],[Total 
Days]]*MonthlyPayroll3[[#This Row],[Total Payable Days]]</f>
        <v>7500</v>
      </c>
      <c r="T3" s="16">
        <f t="shared" si="2"/>
        <v>900</v>
      </c>
      <c r="U3" s="16">
        <f>(MonthlyPayroll[[#This Row],[Esi wage]])/MonthlyPayroll3[[#This Row],[Total 
Days]]*MonthlyPayroll3[[#This Row],[Total Payable Days]]</f>
        <v>10000</v>
      </c>
      <c r="V3" s="16">
        <f>0.75%*MonthlyPayroll3[[#This Row],[ESI wage]]</f>
        <v>75</v>
      </c>
      <c r="W3" s="74">
        <f t="shared" si="3"/>
        <v>0</v>
      </c>
      <c r="X3" s="73">
        <f>MonthlyPayroll3[[#This Row],[Employee PF]]+MonthlyPayroll3[[#This Row],[Employee
 ESIC]]+MonthlyPayroll3[[#This Row],[PT]]</f>
        <v>975</v>
      </c>
      <c r="Y3" s="72">
        <f t="shared" ref="Y3:Y24" si="7">R3 - X3</f>
        <v>9025</v>
      </c>
      <c r="Z3" s="75">
        <f t="shared" si="4"/>
        <v>975</v>
      </c>
      <c r="AA3" s="75">
        <f t="shared" ref="AA3:AA24" si="8">IF(J3="YES",
   ROUND((R3 ) * 3.25%, 0),
   0
)</f>
        <v>325</v>
      </c>
      <c r="AB3" s="16">
        <f t="shared" si="5"/>
        <v>11300</v>
      </c>
    </row>
    <row r="4" spans="1:28" x14ac:dyDescent="0.3">
      <c r="A4" s="67">
        <v>3</v>
      </c>
      <c r="B4" s="68" t="s">
        <v>60</v>
      </c>
      <c r="C4" s="68" t="s">
        <v>61</v>
      </c>
      <c r="D4" s="69" t="s">
        <v>62</v>
      </c>
      <c r="E4" s="70" t="s">
        <v>63</v>
      </c>
      <c r="F4" s="20">
        <v>12720</v>
      </c>
      <c r="G4" s="22">
        <v>12720</v>
      </c>
      <c r="H4" s="71" t="s">
        <v>56</v>
      </c>
      <c r="I4" s="67" t="str">
        <f t="shared" si="0"/>
        <v>YES</v>
      </c>
      <c r="J4" s="67" t="str">
        <f t="shared" si="1"/>
        <v>YES</v>
      </c>
      <c r="K4" s="67">
        <v>26</v>
      </c>
      <c r="L4" s="67">
        <v>3</v>
      </c>
      <c r="M4" s="67">
        <f>MonthlyPayroll3[[#This Row],[Total 
Days]]-MonthlyPayroll3[[#This Row],[Loss of Pay days]]</f>
        <v>23</v>
      </c>
      <c r="N4" s="72">
        <f>(MonthlyPayroll[[#This Row],[Basic]])/MonthlyPayroll3[[#This Row],[Total 
Days]]*MonthlyPayroll3[[#This Row],[Total Payable Days]]</f>
        <v>11252.307692307691</v>
      </c>
      <c r="O4" s="72">
        <f>(MonthlyPayroll[[#This Row],[HRA]])/MonthlyPayroll3[[#This Row],[Total 
Days]]*MonthlyPayroll3[[#This Row],[Total Payable Days]]</f>
        <v>0</v>
      </c>
      <c r="P4" s="72">
        <f>(MonthlyPayroll[[#This Row],[Other allowance]])/MonthlyPayroll3[[#This Row],[Total 
Days]]*MonthlyPayroll3[[#This Row],[Total Payable Days]]</f>
        <v>0</v>
      </c>
      <c r="Q4" s="72">
        <f t="shared" si="6"/>
        <v>0</v>
      </c>
      <c r="R4" s="73">
        <f>SUM(MonthlyPayroll3[[#This Row],[Basic]:[Attendance 
Bonus]])</f>
        <v>11252.307692307691</v>
      </c>
      <c r="S4" s="16">
        <f>(MonthlyPayroll[[#This Row],[PF Wage]])/MonthlyPayroll3[[#This Row],[Total 
Days]]*MonthlyPayroll3[[#This Row],[Total Payable Days]]</f>
        <v>11252.307692307691</v>
      </c>
      <c r="T4" s="16">
        <f t="shared" si="2"/>
        <v>1350</v>
      </c>
      <c r="U4" s="16">
        <f>(MonthlyPayroll[[#This Row],[Esi wage]])/MonthlyPayroll3[[#This Row],[Total 
Days]]*MonthlyPayroll3[[#This Row],[Total Payable Days]]</f>
        <v>11252.307692307691</v>
      </c>
      <c r="V4" s="16">
        <f>0.75%*MonthlyPayroll3[[#This Row],[ESI wage]]</f>
        <v>84.392307692307682</v>
      </c>
      <c r="W4" s="74">
        <f t="shared" si="3"/>
        <v>0</v>
      </c>
      <c r="X4" s="73">
        <f>MonthlyPayroll3[[#This Row],[Employee PF]]+MonthlyPayroll3[[#This Row],[Employee
 ESIC]]+MonthlyPayroll3[[#This Row],[PT]]</f>
        <v>1434.3923076923077</v>
      </c>
      <c r="Y4" s="72">
        <f t="shared" si="7"/>
        <v>9817.915384615384</v>
      </c>
      <c r="Z4" s="75">
        <f t="shared" si="4"/>
        <v>1463</v>
      </c>
      <c r="AA4" s="75">
        <f t="shared" si="8"/>
        <v>366</v>
      </c>
      <c r="AB4" s="16">
        <f t="shared" si="5"/>
        <v>13081.307692307691</v>
      </c>
    </row>
    <row r="5" spans="1:28" x14ac:dyDescent="0.3">
      <c r="A5" s="67">
        <v>4</v>
      </c>
      <c r="B5" s="68" t="s">
        <v>64</v>
      </c>
      <c r="C5" s="68" t="s">
        <v>53</v>
      </c>
      <c r="D5" s="69" t="s">
        <v>54</v>
      </c>
      <c r="E5" s="70" t="s">
        <v>65</v>
      </c>
      <c r="F5" s="20">
        <v>13629</v>
      </c>
      <c r="G5" s="22">
        <v>16000</v>
      </c>
      <c r="H5" s="71" t="s">
        <v>56</v>
      </c>
      <c r="I5" s="67" t="str">
        <f t="shared" si="0"/>
        <v>YES</v>
      </c>
      <c r="J5" s="67" t="str">
        <f t="shared" si="1"/>
        <v>YES</v>
      </c>
      <c r="K5" s="67">
        <v>26</v>
      </c>
      <c r="L5" s="67">
        <v>2</v>
      </c>
      <c r="M5" s="67">
        <f>MonthlyPayroll3[[#This Row],[Total 
Days]]-MonthlyPayroll3[[#This Row],[Loss of Pay days]]</f>
        <v>24</v>
      </c>
      <c r="N5" s="72">
        <f>(MonthlyPayroll[[#This Row],[Basic]])/MonthlyPayroll3[[#This Row],[Total 
Days]]*MonthlyPayroll3[[#This Row],[Total Payable Days]]</f>
        <v>13846.153846153846</v>
      </c>
      <c r="O5" s="72">
        <f>(MonthlyPayroll[[#This Row],[HRA]])/MonthlyPayroll3[[#This Row],[Total 
Days]]*MonthlyPayroll3[[#This Row],[Total Payable Days]]</f>
        <v>0</v>
      </c>
      <c r="P5" s="72">
        <f>(MonthlyPayroll[[#This Row],[Other allowance]])/MonthlyPayroll3[[#This Row],[Total 
Days]]*MonthlyPayroll3[[#This Row],[Total Payable Days]]</f>
        <v>923.07692307692309</v>
      </c>
      <c r="Q5" s="72">
        <f t="shared" si="6"/>
        <v>0</v>
      </c>
      <c r="R5" s="73">
        <f>SUM(MonthlyPayroll3[[#This Row],[Basic]:[Attendance 
Bonus]])</f>
        <v>14769.23076923077</v>
      </c>
      <c r="S5" s="16">
        <f>(MonthlyPayroll[[#This Row],[PF Wage]])/MonthlyPayroll3[[#This Row],[Total 
Days]]*MonthlyPayroll3[[#This Row],[Total Payable Days]]</f>
        <v>13846.153846153846</v>
      </c>
      <c r="T5" s="16">
        <f t="shared" si="2"/>
        <v>1662</v>
      </c>
      <c r="U5" s="16">
        <f>(MonthlyPayroll[[#This Row],[Esi wage]])/MonthlyPayroll3[[#This Row],[Total 
Days]]*MonthlyPayroll3[[#This Row],[Total Payable Days]]</f>
        <v>14769.23076923077</v>
      </c>
      <c r="V5" s="16">
        <f>0.75%*MonthlyPayroll3[[#This Row],[ESI wage]]</f>
        <v>110.76923076923077</v>
      </c>
      <c r="W5" s="74">
        <f t="shared" si="3"/>
        <v>0</v>
      </c>
      <c r="X5" s="73">
        <f>MonthlyPayroll3[[#This Row],[Employee PF]]+MonthlyPayroll3[[#This Row],[Employee
 ESIC]]+MonthlyPayroll3[[#This Row],[PT]]</f>
        <v>1772.7692307692307</v>
      </c>
      <c r="Y5" s="72">
        <f t="shared" si="7"/>
        <v>12996.461538461539</v>
      </c>
      <c r="Z5" s="75">
        <f t="shared" si="4"/>
        <v>1800</v>
      </c>
      <c r="AA5" s="75">
        <f t="shared" si="8"/>
        <v>480</v>
      </c>
      <c r="AB5" s="16">
        <f t="shared" si="5"/>
        <v>17049.23076923077</v>
      </c>
    </row>
    <row r="6" spans="1:28" x14ac:dyDescent="0.3">
      <c r="A6" s="67">
        <v>5</v>
      </c>
      <c r="B6" s="68" t="s">
        <v>66</v>
      </c>
      <c r="C6" s="68" t="s">
        <v>67</v>
      </c>
      <c r="D6" s="69" t="s">
        <v>62</v>
      </c>
      <c r="E6" s="70" t="s">
        <v>63</v>
      </c>
      <c r="F6" s="20">
        <v>12720</v>
      </c>
      <c r="G6" s="22">
        <v>12720</v>
      </c>
      <c r="H6" s="71" t="s">
        <v>56</v>
      </c>
      <c r="I6" s="67" t="str">
        <f t="shared" si="0"/>
        <v>YES</v>
      </c>
      <c r="J6" s="67" t="str">
        <f t="shared" si="1"/>
        <v>YES</v>
      </c>
      <c r="K6" s="67">
        <v>26</v>
      </c>
      <c r="L6" s="67">
        <v>0</v>
      </c>
      <c r="M6" s="67">
        <f>MonthlyPayroll3[[#This Row],[Total 
Days]]-MonthlyPayroll3[[#This Row],[Loss of Pay days]]</f>
        <v>26</v>
      </c>
      <c r="N6" s="72">
        <f>(MonthlyPayroll[[#This Row],[Basic]])/MonthlyPayroll3[[#This Row],[Total 
Days]]*MonthlyPayroll3[[#This Row],[Total Payable Days]]</f>
        <v>12720</v>
      </c>
      <c r="O6" s="72">
        <f>(MonthlyPayroll[[#This Row],[HRA]])/MonthlyPayroll3[[#This Row],[Total 
Days]]*MonthlyPayroll3[[#This Row],[Total Payable Days]]</f>
        <v>0</v>
      </c>
      <c r="P6" s="72">
        <f>(MonthlyPayroll[[#This Row],[Other allowance]])/MonthlyPayroll3[[#This Row],[Total 
Days]]*MonthlyPayroll3[[#This Row],[Total Payable Days]]</f>
        <v>0</v>
      </c>
      <c r="Q6" s="72">
        <f t="shared" si="6"/>
        <v>2000</v>
      </c>
      <c r="R6" s="73">
        <f>SUM(MonthlyPayroll3[[#This Row],[Basic]:[Attendance 
Bonus]])</f>
        <v>14720</v>
      </c>
      <c r="S6" s="16">
        <f>(MonthlyPayroll[[#This Row],[PF Wage]])/MonthlyPayroll3[[#This Row],[Total 
Days]]*MonthlyPayroll3[[#This Row],[Total Payable Days]]</f>
        <v>12720</v>
      </c>
      <c r="T6" s="16">
        <f t="shared" si="2"/>
        <v>1526</v>
      </c>
      <c r="U6" s="16">
        <f>(MonthlyPayroll[[#This Row],[Esi wage]])/MonthlyPayroll3[[#This Row],[Total 
Days]]*MonthlyPayroll3[[#This Row],[Total Payable Days]]</f>
        <v>12720</v>
      </c>
      <c r="V6" s="16">
        <f>0.75%*MonthlyPayroll3[[#This Row],[ESI wage]]</f>
        <v>95.399999999999991</v>
      </c>
      <c r="W6" s="74">
        <f t="shared" si="3"/>
        <v>0</v>
      </c>
      <c r="X6" s="73">
        <f>MonthlyPayroll3[[#This Row],[Employee PF]]+MonthlyPayroll3[[#This Row],[Employee
 ESIC]]+MonthlyPayroll3[[#This Row],[PT]]</f>
        <v>1621.4</v>
      </c>
      <c r="Y6" s="72">
        <f t="shared" si="7"/>
        <v>13098.6</v>
      </c>
      <c r="Z6" s="75">
        <f t="shared" si="4"/>
        <v>1654</v>
      </c>
      <c r="AA6" s="75">
        <f t="shared" si="8"/>
        <v>478</v>
      </c>
      <c r="AB6" s="16">
        <f t="shared" si="5"/>
        <v>16852</v>
      </c>
    </row>
    <row r="7" spans="1:28" x14ac:dyDescent="0.3">
      <c r="A7" s="67">
        <v>6</v>
      </c>
      <c r="B7" s="68" t="s">
        <v>68</v>
      </c>
      <c r="C7" s="68" t="s">
        <v>67</v>
      </c>
      <c r="D7" s="69" t="s">
        <v>62</v>
      </c>
      <c r="E7" s="70" t="s">
        <v>63</v>
      </c>
      <c r="F7" s="20">
        <v>12720</v>
      </c>
      <c r="G7" s="22">
        <v>12720</v>
      </c>
      <c r="H7" s="71" t="s">
        <v>56</v>
      </c>
      <c r="I7" s="67" t="str">
        <f t="shared" si="0"/>
        <v>YES</v>
      </c>
      <c r="J7" s="67" t="str">
        <f t="shared" si="1"/>
        <v>YES</v>
      </c>
      <c r="K7" s="67">
        <v>26</v>
      </c>
      <c r="L7" s="67">
        <v>6</v>
      </c>
      <c r="M7" s="67">
        <f>MonthlyPayroll3[[#This Row],[Total 
Days]]-MonthlyPayroll3[[#This Row],[Loss of Pay days]]</f>
        <v>20</v>
      </c>
      <c r="N7" s="72">
        <f>(MonthlyPayroll[[#This Row],[Basic]])/MonthlyPayroll3[[#This Row],[Total 
Days]]*MonthlyPayroll3[[#This Row],[Total Payable Days]]</f>
        <v>9784.6153846153848</v>
      </c>
      <c r="O7" s="72">
        <f>(MonthlyPayroll[[#This Row],[HRA]])/MonthlyPayroll3[[#This Row],[Total 
Days]]*MonthlyPayroll3[[#This Row],[Total Payable Days]]</f>
        <v>0</v>
      </c>
      <c r="P7" s="72">
        <f>(MonthlyPayroll[[#This Row],[Other allowance]])/MonthlyPayroll3[[#This Row],[Total 
Days]]*MonthlyPayroll3[[#This Row],[Total Payable Days]]</f>
        <v>0</v>
      </c>
      <c r="Q7" s="72">
        <f t="shared" si="6"/>
        <v>0</v>
      </c>
      <c r="R7" s="73">
        <f>SUM(MonthlyPayroll3[[#This Row],[Basic]:[Attendance 
Bonus]])</f>
        <v>9784.6153846153848</v>
      </c>
      <c r="S7" s="16">
        <f>(MonthlyPayroll[[#This Row],[PF Wage]])/MonthlyPayroll3[[#This Row],[Total 
Days]]*MonthlyPayroll3[[#This Row],[Total Payable Days]]</f>
        <v>9784.6153846153848</v>
      </c>
      <c r="T7" s="16">
        <f t="shared" si="2"/>
        <v>1174</v>
      </c>
      <c r="U7" s="16">
        <f>(MonthlyPayroll[[#This Row],[Esi wage]])/MonthlyPayroll3[[#This Row],[Total 
Days]]*MonthlyPayroll3[[#This Row],[Total Payable Days]]</f>
        <v>9784.6153846153848</v>
      </c>
      <c r="V7" s="16">
        <f>0.75%*MonthlyPayroll3[[#This Row],[ESI wage]]</f>
        <v>73.384615384615387</v>
      </c>
      <c r="W7" s="74">
        <f t="shared" si="3"/>
        <v>0</v>
      </c>
      <c r="X7" s="73">
        <f>MonthlyPayroll3[[#This Row],[Employee PF]]+MonthlyPayroll3[[#This Row],[Employee
 ESIC]]+MonthlyPayroll3[[#This Row],[PT]]</f>
        <v>1247.3846153846155</v>
      </c>
      <c r="Y7" s="72">
        <f t="shared" si="7"/>
        <v>8537.2307692307695</v>
      </c>
      <c r="Z7" s="75">
        <f t="shared" si="4"/>
        <v>1272</v>
      </c>
      <c r="AA7" s="75">
        <f t="shared" si="8"/>
        <v>318</v>
      </c>
      <c r="AB7" s="16">
        <f t="shared" si="5"/>
        <v>11374.615384615385</v>
      </c>
    </row>
    <row r="8" spans="1:28" ht="28.8" x14ac:dyDescent="0.3">
      <c r="A8" s="67">
        <v>7</v>
      </c>
      <c r="B8" s="68" t="s">
        <v>69</v>
      </c>
      <c r="C8" s="68" t="s">
        <v>70</v>
      </c>
      <c r="D8" s="69" t="s">
        <v>62</v>
      </c>
      <c r="E8" s="70" t="s">
        <v>63</v>
      </c>
      <c r="F8" s="20">
        <v>12720</v>
      </c>
      <c r="G8" s="22">
        <v>12720</v>
      </c>
      <c r="H8" s="71" t="s">
        <v>56</v>
      </c>
      <c r="I8" s="67" t="str">
        <f t="shared" si="0"/>
        <v>YES</v>
      </c>
      <c r="J8" s="67" t="str">
        <f t="shared" si="1"/>
        <v>YES</v>
      </c>
      <c r="K8" s="67">
        <v>26</v>
      </c>
      <c r="L8" s="67">
        <v>3</v>
      </c>
      <c r="M8" s="67">
        <f>MonthlyPayroll3[[#This Row],[Total 
Days]]-MonthlyPayroll3[[#This Row],[Loss of Pay days]]</f>
        <v>23</v>
      </c>
      <c r="N8" s="72">
        <f>(MonthlyPayroll[[#This Row],[Basic]])/MonthlyPayroll3[[#This Row],[Total 
Days]]*MonthlyPayroll3[[#This Row],[Total Payable Days]]</f>
        <v>11252.307692307691</v>
      </c>
      <c r="O8" s="72">
        <f>(MonthlyPayroll[[#This Row],[HRA]])/MonthlyPayroll3[[#This Row],[Total 
Days]]*MonthlyPayroll3[[#This Row],[Total Payable Days]]</f>
        <v>0</v>
      </c>
      <c r="P8" s="72">
        <f>(MonthlyPayroll[[#This Row],[Other allowance]])/MonthlyPayroll3[[#This Row],[Total 
Days]]*MonthlyPayroll3[[#This Row],[Total Payable Days]]</f>
        <v>0</v>
      </c>
      <c r="Q8" s="72">
        <f t="shared" si="6"/>
        <v>0</v>
      </c>
      <c r="R8" s="73">
        <f>SUM(MonthlyPayroll3[[#This Row],[Basic]:[Attendance 
Bonus]])</f>
        <v>11252.307692307691</v>
      </c>
      <c r="S8" s="16">
        <f>(MonthlyPayroll[[#This Row],[PF Wage]])/MonthlyPayroll3[[#This Row],[Total 
Days]]*MonthlyPayroll3[[#This Row],[Total Payable Days]]</f>
        <v>11252.307692307691</v>
      </c>
      <c r="T8" s="16">
        <f t="shared" si="2"/>
        <v>1350</v>
      </c>
      <c r="U8" s="16">
        <f>(MonthlyPayroll[[#This Row],[Esi wage]])/MonthlyPayroll3[[#This Row],[Total 
Days]]*MonthlyPayroll3[[#This Row],[Total Payable Days]]</f>
        <v>11252.307692307691</v>
      </c>
      <c r="V8" s="16">
        <f>0.75%*MonthlyPayroll3[[#This Row],[ESI wage]]</f>
        <v>84.392307692307682</v>
      </c>
      <c r="W8" s="74">
        <f t="shared" si="3"/>
        <v>0</v>
      </c>
      <c r="X8" s="73">
        <f>MonthlyPayroll3[[#This Row],[Employee PF]]+MonthlyPayroll3[[#This Row],[Employee
 ESIC]]+MonthlyPayroll3[[#This Row],[PT]]</f>
        <v>1434.3923076923077</v>
      </c>
      <c r="Y8" s="72">
        <f t="shared" si="7"/>
        <v>9817.915384615384</v>
      </c>
      <c r="Z8" s="75">
        <f t="shared" si="4"/>
        <v>1463</v>
      </c>
      <c r="AA8" s="75">
        <f t="shared" si="8"/>
        <v>366</v>
      </c>
      <c r="AB8" s="16">
        <f t="shared" si="5"/>
        <v>13081.307692307691</v>
      </c>
    </row>
    <row r="9" spans="1:28" x14ac:dyDescent="0.3">
      <c r="A9" s="67">
        <v>8</v>
      </c>
      <c r="B9" s="68" t="s">
        <v>71</v>
      </c>
      <c r="C9" s="68" t="s">
        <v>72</v>
      </c>
      <c r="D9" s="69" t="s">
        <v>54</v>
      </c>
      <c r="E9" s="70" t="s">
        <v>55</v>
      </c>
      <c r="F9" s="20">
        <v>14051</v>
      </c>
      <c r="G9" s="22">
        <v>18000</v>
      </c>
      <c r="H9" s="71" t="s">
        <v>73</v>
      </c>
      <c r="I9" s="67" t="s">
        <v>73</v>
      </c>
      <c r="J9" s="67" t="str">
        <f t="shared" si="1"/>
        <v>YES</v>
      </c>
      <c r="K9" s="67">
        <v>26</v>
      </c>
      <c r="L9" s="67">
        <v>11</v>
      </c>
      <c r="M9" s="67">
        <f>MonthlyPayroll3[[#This Row],[Total 
Days]]-MonthlyPayroll3[[#This Row],[Loss of Pay days]]</f>
        <v>15</v>
      </c>
      <c r="N9" s="72">
        <f>(MonthlyPayroll[[#This Row],[Basic]])/MonthlyPayroll3[[#This Row],[Total 
Days]]*MonthlyPayroll3[[#This Row],[Total Payable Days]]</f>
        <v>8653.8461538461543</v>
      </c>
      <c r="O9" s="72">
        <f>(MonthlyPayroll[[#This Row],[HRA]])/MonthlyPayroll3[[#This Row],[Total 
Days]]*MonthlyPayroll3[[#This Row],[Total Payable Days]]</f>
        <v>0</v>
      </c>
      <c r="P9" s="72">
        <f>(MonthlyPayroll[[#This Row],[Other allowance]])/MonthlyPayroll3[[#This Row],[Total 
Days]]*MonthlyPayroll3[[#This Row],[Total Payable Days]]</f>
        <v>1730.7692307692307</v>
      </c>
      <c r="Q9" s="72">
        <f t="shared" si="6"/>
        <v>0</v>
      </c>
      <c r="R9" s="73">
        <f>SUM(MonthlyPayroll3[[#This Row],[Basic]:[Attendance 
Bonus]])</f>
        <v>10384.615384615385</v>
      </c>
      <c r="S9" s="16">
        <f>(MonthlyPayroll[[#This Row],[PF Wage]])/MonthlyPayroll3[[#This Row],[Total 
Days]]*MonthlyPayroll3[[#This Row],[Total Payable Days]]</f>
        <v>0</v>
      </c>
      <c r="T9" s="16">
        <f t="shared" si="2"/>
        <v>0</v>
      </c>
      <c r="U9" s="16">
        <f>(MonthlyPayroll[[#This Row],[Esi wage]])/MonthlyPayroll3[[#This Row],[Total 
Days]]*MonthlyPayroll3[[#This Row],[Total Payable Days]]</f>
        <v>10384.615384615385</v>
      </c>
      <c r="V9" s="16">
        <f>0.75%*MonthlyPayroll3[[#This Row],[ESI wage]]</f>
        <v>77.884615384615387</v>
      </c>
      <c r="W9" s="74">
        <f t="shared" si="3"/>
        <v>0</v>
      </c>
      <c r="X9" s="73">
        <f>MonthlyPayroll3[[#This Row],[Employee PF]]+MonthlyPayroll3[[#This Row],[Employee
 ESIC]]+MonthlyPayroll3[[#This Row],[PT]]</f>
        <v>77.884615384615387</v>
      </c>
      <c r="Y9" s="72">
        <f t="shared" si="7"/>
        <v>10306.73076923077</v>
      </c>
      <c r="Z9" s="75">
        <f t="shared" si="4"/>
        <v>0</v>
      </c>
      <c r="AA9" s="75">
        <f t="shared" si="8"/>
        <v>338</v>
      </c>
      <c r="AB9" s="16">
        <f t="shared" si="5"/>
        <v>10722.615384615385</v>
      </c>
    </row>
    <row r="10" spans="1:28" x14ac:dyDescent="0.3">
      <c r="A10" s="67">
        <v>9</v>
      </c>
      <c r="B10" s="68" t="s">
        <v>74</v>
      </c>
      <c r="C10" s="68" t="s">
        <v>75</v>
      </c>
      <c r="D10" s="69" t="s">
        <v>76</v>
      </c>
      <c r="E10" s="70" t="s">
        <v>77</v>
      </c>
      <c r="F10" s="20">
        <v>13417</v>
      </c>
      <c r="G10" s="22">
        <v>15000</v>
      </c>
      <c r="H10" s="71" t="s">
        <v>56</v>
      </c>
      <c r="I10" s="67" t="str">
        <f t="shared" si="0"/>
        <v>YES</v>
      </c>
      <c r="J10" s="67" t="str">
        <f t="shared" si="1"/>
        <v>YES</v>
      </c>
      <c r="K10" s="67">
        <v>26</v>
      </c>
      <c r="L10" s="67">
        <v>1</v>
      </c>
      <c r="M10" s="67">
        <f>MonthlyPayroll3[[#This Row],[Total 
Days]]-MonthlyPayroll3[[#This Row],[Loss of Pay days]]</f>
        <v>25</v>
      </c>
      <c r="N10" s="72">
        <f>(MonthlyPayroll[[#This Row],[Basic]])/MonthlyPayroll3[[#This Row],[Total 
Days]]*MonthlyPayroll3[[#This Row],[Total Payable Days]]</f>
        <v>14423.076923076922</v>
      </c>
      <c r="O10" s="72">
        <f>(MonthlyPayroll[[#This Row],[HRA]])/MonthlyPayroll3[[#This Row],[Total 
Days]]*MonthlyPayroll3[[#This Row],[Total Payable Days]]</f>
        <v>0</v>
      </c>
      <c r="P10" s="72">
        <f>(MonthlyPayroll[[#This Row],[Other allowance]])/MonthlyPayroll3[[#This Row],[Total 
Days]]*MonthlyPayroll3[[#This Row],[Total Payable Days]]</f>
        <v>0</v>
      </c>
      <c r="Q10" s="72">
        <f t="shared" si="6"/>
        <v>2000</v>
      </c>
      <c r="R10" s="73">
        <f>SUM(MonthlyPayroll3[[#This Row],[Basic]:[Attendance 
Bonus]])</f>
        <v>16423.076923076922</v>
      </c>
      <c r="S10" s="16">
        <f>(MonthlyPayroll[[#This Row],[PF Wage]])/MonthlyPayroll3[[#This Row],[Total 
Days]]*MonthlyPayroll3[[#This Row],[Total Payable Days]]</f>
        <v>14423.076923076922</v>
      </c>
      <c r="T10" s="16">
        <f t="shared" si="2"/>
        <v>1731</v>
      </c>
      <c r="U10" s="16">
        <f>(MonthlyPayroll[[#This Row],[Esi wage]])/MonthlyPayroll3[[#This Row],[Total 
Days]]*MonthlyPayroll3[[#This Row],[Total Payable Days]]</f>
        <v>14423.076923076922</v>
      </c>
      <c r="V10" s="16">
        <f>0.75%*MonthlyPayroll3[[#This Row],[ESI wage]]</f>
        <v>108.17307692307691</v>
      </c>
      <c r="W10" s="74">
        <f t="shared" si="3"/>
        <v>150</v>
      </c>
      <c r="X10" s="73">
        <f>MonthlyPayroll3[[#This Row],[Employee PF]]+MonthlyPayroll3[[#This Row],[Employee
 ESIC]]+MonthlyPayroll3[[#This Row],[PT]]</f>
        <v>1989.1730769230769</v>
      </c>
      <c r="Y10" s="72">
        <f t="shared" si="7"/>
        <v>14433.903846153846</v>
      </c>
      <c r="Z10" s="75">
        <f t="shared" si="4"/>
        <v>1875</v>
      </c>
      <c r="AA10" s="75">
        <f t="shared" si="8"/>
        <v>534</v>
      </c>
      <c r="AB10" s="16">
        <f t="shared" si="5"/>
        <v>18832.076923076922</v>
      </c>
    </row>
    <row r="11" spans="1:28" x14ac:dyDescent="0.3">
      <c r="A11" s="67">
        <v>10</v>
      </c>
      <c r="B11" s="68" t="s">
        <v>78</v>
      </c>
      <c r="C11" s="68" t="s">
        <v>79</v>
      </c>
      <c r="D11" s="69" t="s">
        <v>62</v>
      </c>
      <c r="E11" s="70" t="s">
        <v>63</v>
      </c>
      <c r="F11" s="20">
        <v>12720</v>
      </c>
      <c r="G11" s="22">
        <v>12720</v>
      </c>
      <c r="H11" s="71" t="s">
        <v>56</v>
      </c>
      <c r="I11" s="67" t="str">
        <f t="shared" si="0"/>
        <v>YES</v>
      </c>
      <c r="J11" s="67" t="str">
        <f t="shared" si="1"/>
        <v>YES</v>
      </c>
      <c r="K11" s="67">
        <v>26</v>
      </c>
      <c r="L11" s="67">
        <v>1</v>
      </c>
      <c r="M11" s="67">
        <f>MonthlyPayroll3[[#This Row],[Total 
Days]]-MonthlyPayroll3[[#This Row],[Loss of Pay days]]</f>
        <v>25</v>
      </c>
      <c r="N11" s="72">
        <f>(MonthlyPayroll[[#This Row],[Basic]])/MonthlyPayroll3[[#This Row],[Total 
Days]]*MonthlyPayroll3[[#This Row],[Total Payable Days]]</f>
        <v>12230.76923076923</v>
      </c>
      <c r="O11" s="72">
        <f>(MonthlyPayroll[[#This Row],[HRA]])/MonthlyPayroll3[[#This Row],[Total 
Days]]*MonthlyPayroll3[[#This Row],[Total Payable Days]]</f>
        <v>0</v>
      </c>
      <c r="P11" s="72">
        <f>(MonthlyPayroll[[#This Row],[Other allowance]])/MonthlyPayroll3[[#This Row],[Total 
Days]]*MonthlyPayroll3[[#This Row],[Total Payable Days]]</f>
        <v>0</v>
      </c>
      <c r="Q11" s="72">
        <f t="shared" si="6"/>
        <v>2000</v>
      </c>
      <c r="R11" s="73">
        <f>SUM(MonthlyPayroll3[[#This Row],[Basic]:[Attendance 
Bonus]])</f>
        <v>14230.76923076923</v>
      </c>
      <c r="S11" s="16">
        <f>(MonthlyPayroll[[#This Row],[PF Wage]])/MonthlyPayroll3[[#This Row],[Total 
Days]]*MonthlyPayroll3[[#This Row],[Total Payable Days]]</f>
        <v>12230.76923076923</v>
      </c>
      <c r="T11" s="16">
        <f t="shared" si="2"/>
        <v>1468</v>
      </c>
      <c r="U11" s="16">
        <f>(MonthlyPayroll[[#This Row],[Esi wage]])/MonthlyPayroll3[[#This Row],[Total 
Days]]*MonthlyPayroll3[[#This Row],[Total Payable Days]]</f>
        <v>12230.76923076923</v>
      </c>
      <c r="V11" s="16">
        <f>0.75%*MonthlyPayroll3[[#This Row],[ESI wage]]</f>
        <v>91.730769230769226</v>
      </c>
      <c r="W11" s="74">
        <f t="shared" si="3"/>
        <v>0</v>
      </c>
      <c r="X11" s="73">
        <f>MonthlyPayroll3[[#This Row],[Employee PF]]+MonthlyPayroll3[[#This Row],[Employee
 ESIC]]+MonthlyPayroll3[[#This Row],[PT]]</f>
        <v>1559.7307692307693</v>
      </c>
      <c r="Y11" s="72">
        <f t="shared" si="7"/>
        <v>12671.038461538461</v>
      </c>
      <c r="Z11" s="75">
        <f t="shared" si="4"/>
        <v>1590</v>
      </c>
      <c r="AA11" s="75">
        <f t="shared" si="8"/>
        <v>463</v>
      </c>
      <c r="AB11" s="16">
        <f t="shared" si="5"/>
        <v>16283.76923076923</v>
      </c>
    </row>
    <row r="12" spans="1:28" x14ac:dyDescent="0.3">
      <c r="A12" s="67">
        <v>11</v>
      </c>
      <c r="B12" s="68" t="s">
        <v>80</v>
      </c>
      <c r="C12" s="68" t="s">
        <v>81</v>
      </c>
      <c r="D12" s="69" t="s">
        <v>82</v>
      </c>
      <c r="E12" s="70" t="s">
        <v>55</v>
      </c>
      <c r="F12" s="20">
        <v>14051</v>
      </c>
      <c r="G12" s="22">
        <v>18000</v>
      </c>
      <c r="H12" s="71" t="s">
        <v>56</v>
      </c>
      <c r="I12" s="67" t="str">
        <f t="shared" si="0"/>
        <v>YES</v>
      </c>
      <c r="J12" s="67" t="str">
        <f t="shared" si="1"/>
        <v>YES</v>
      </c>
      <c r="K12" s="67">
        <v>26</v>
      </c>
      <c r="L12" s="67">
        <v>0</v>
      </c>
      <c r="M12" s="67">
        <f>MonthlyPayroll3[[#This Row],[Total 
Days]]-MonthlyPayroll3[[#This Row],[Loss of Pay days]]</f>
        <v>26</v>
      </c>
      <c r="N12" s="72">
        <f>(MonthlyPayroll[[#This Row],[Basic]])/MonthlyPayroll3[[#This Row],[Total 
Days]]*MonthlyPayroll3[[#This Row],[Total Payable Days]]</f>
        <v>15000</v>
      </c>
      <c r="O12" s="72">
        <f>(MonthlyPayroll[[#This Row],[HRA]])/MonthlyPayroll3[[#This Row],[Total 
Days]]*MonthlyPayroll3[[#This Row],[Total Payable Days]]</f>
        <v>0</v>
      </c>
      <c r="P12" s="72">
        <f>(MonthlyPayroll[[#This Row],[Other allowance]])/MonthlyPayroll3[[#This Row],[Total 
Days]]*MonthlyPayroll3[[#This Row],[Total Payable Days]]</f>
        <v>3000</v>
      </c>
      <c r="Q12" s="72">
        <f t="shared" si="6"/>
        <v>2000</v>
      </c>
      <c r="R12" s="73">
        <f>SUM(MonthlyPayroll3[[#This Row],[Basic]:[Attendance 
Bonus]])</f>
        <v>20000</v>
      </c>
      <c r="S12" s="16">
        <f>(MonthlyPayroll[[#This Row],[PF Wage]])/MonthlyPayroll3[[#This Row],[Total 
Days]]*MonthlyPayroll3[[#This Row],[Total Payable Days]]</f>
        <v>15000</v>
      </c>
      <c r="T12" s="16">
        <f t="shared" si="2"/>
        <v>1800</v>
      </c>
      <c r="U12" s="16">
        <f>(MonthlyPayroll[[#This Row],[Esi wage]])/MonthlyPayroll3[[#This Row],[Total 
Days]]*MonthlyPayroll3[[#This Row],[Total Payable Days]]</f>
        <v>18000</v>
      </c>
      <c r="V12" s="16">
        <f>0.75%*MonthlyPayroll3[[#This Row],[ESI wage]]</f>
        <v>135</v>
      </c>
      <c r="W12" s="74">
        <f t="shared" si="3"/>
        <v>150</v>
      </c>
      <c r="X12" s="73">
        <f>MonthlyPayroll3[[#This Row],[Employee PF]]+MonthlyPayroll3[[#This Row],[Employee
 ESIC]]+MonthlyPayroll3[[#This Row],[PT]]</f>
        <v>2085</v>
      </c>
      <c r="Y12" s="72">
        <f t="shared" si="7"/>
        <v>17915</v>
      </c>
      <c r="Z12" s="75">
        <f t="shared" si="4"/>
        <v>1950</v>
      </c>
      <c r="AA12" s="75">
        <f t="shared" si="8"/>
        <v>650</v>
      </c>
      <c r="AB12" s="16">
        <f t="shared" si="5"/>
        <v>22600</v>
      </c>
    </row>
    <row r="13" spans="1:28" x14ac:dyDescent="0.3">
      <c r="A13" s="67">
        <v>12</v>
      </c>
      <c r="B13" s="68" t="s">
        <v>83</v>
      </c>
      <c r="C13" s="68" t="s">
        <v>67</v>
      </c>
      <c r="D13" s="69" t="s">
        <v>62</v>
      </c>
      <c r="E13" s="70" t="s">
        <v>63</v>
      </c>
      <c r="F13" s="20">
        <v>12720</v>
      </c>
      <c r="G13" s="22">
        <v>12720</v>
      </c>
      <c r="H13" s="71" t="s">
        <v>56</v>
      </c>
      <c r="I13" s="67" t="str">
        <f t="shared" si="0"/>
        <v>YES</v>
      </c>
      <c r="J13" s="67" t="str">
        <f t="shared" si="1"/>
        <v>YES</v>
      </c>
      <c r="K13" s="67">
        <v>26</v>
      </c>
      <c r="L13" s="67">
        <v>12</v>
      </c>
      <c r="M13" s="67">
        <f>MonthlyPayroll3[[#This Row],[Total 
Days]]-MonthlyPayroll3[[#This Row],[Loss of Pay days]]</f>
        <v>14</v>
      </c>
      <c r="N13" s="72">
        <f>(MonthlyPayroll[[#This Row],[Basic]])/MonthlyPayroll3[[#This Row],[Total 
Days]]*MonthlyPayroll3[[#This Row],[Total Payable Days]]</f>
        <v>6849.2307692307695</v>
      </c>
      <c r="O13" s="72">
        <f>(MonthlyPayroll[[#This Row],[HRA]])/MonthlyPayroll3[[#This Row],[Total 
Days]]*MonthlyPayroll3[[#This Row],[Total Payable Days]]</f>
        <v>0</v>
      </c>
      <c r="P13" s="72">
        <f>(MonthlyPayroll[[#This Row],[Other allowance]])/MonthlyPayroll3[[#This Row],[Total 
Days]]*MonthlyPayroll3[[#This Row],[Total Payable Days]]</f>
        <v>0</v>
      </c>
      <c r="Q13" s="72">
        <f t="shared" si="6"/>
        <v>0</v>
      </c>
      <c r="R13" s="73">
        <f>SUM(MonthlyPayroll3[[#This Row],[Basic]:[Attendance 
Bonus]])</f>
        <v>6849.2307692307695</v>
      </c>
      <c r="S13" s="16">
        <f>(MonthlyPayroll[[#This Row],[PF Wage]])/MonthlyPayroll3[[#This Row],[Total 
Days]]*MonthlyPayroll3[[#This Row],[Total Payable Days]]</f>
        <v>6849.2307692307695</v>
      </c>
      <c r="T13" s="16">
        <f t="shared" si="2"/>
        <v>822</v>
      </c>
      <c r="U13" s="16">
        <f>(MonthlyPayroll[[#This Row],[Esi wage]])/MonthlyPayroll3[[#This Row],[Total 
Days]]*MonthlyPayroll3[[#This Row],[Total Payable Days]]</f>
        <v>6849.2307692307695</v>
      </c>
      <c r="V13" s="16">
        <f>0.75%*MonthlyPayroll3[[#This Row],[ESI wage]]</f>
        <v>51.369230769230768</v>
      </c>
      <c r="W13" s="74">
        <f t="shared" si="3"/>
        <v>0</v>
      </c>
      <c r="X13" s="73">
        <f>MonthlyPayroll3[[#This Row],[Employee PF]]+MonthlyPayroll3[[#This Row],[Employee
 ESIC]]+MonthlyPayroll3[[#This Row],[PT]]</f>
        <v>873.36923076923074</v>
      </c>
      <c r="Y13" s="72">
        <f t="shared" si="7"/>
        <v>5975.8615384615387</v>
      </c>
      <c r="Z13" s="75">
        <f t="shared" si="4"/>
        <v>890</v>
      </c>
      <c r="AA13" s="75">
        <f t="shared" si="8"/>
        <v>223</v>
      </c>
      <c r="AB13" s="16">
        <f t="shared" si="5"/>
        <v>7962.2307692307695</v>
      </c>
    </row>
    <row r="14" spans="1:28" x14ac:dyDescent="0.3">
      <c r="A14" s="67">
        <v>13</v>
      </c>
      <c r="B14" s="68" t="s">
        <v>84</v>
      </c>
      <c r="C14" s="68" t="s">
        <v>85</v>
      </c>
      <c r="D14" s="69" t="s">
        <v>76</v>
      </c>
      <c r="E14" s="70" t="s">
        <v>77</v>
      </c>
      <c r="F14" s="20">
        <v>13417</v>
      </c>
      <c r="G14" s="22">
        <v>15000</v>
      </c>
      <c r="H14" s="71" t="s">
        <v>56</v>
      </c>
      <c r="I14" s="67" t="str">
        <f t="shared" si="0"/>
        <v>YES</v>
      </c>
      <c r="J14" s="67" t="str">
        <f t="shared" si="1"/>
        <v>YES</v>
      </c>
      <c r="K14" s="67">
        <v>26</v>
      </c>
      <c r="L14" s="67">
        <v>1</v>
      </c>
      <c r="M14" s="67">
        <f>MonthlyPayroll3[[#This Row],[Total 
Days]]-MonthlyPayroll3[[#This Row],[Loss of Pay days]]</f>
        <v>25</v>
      </c>
      <c r="N14" s="72">
        <f>(MonthlyPayroll[[#This Row],[Basic]])/MonthlyPayroll3[[#This Row],[Total 
Days]]*MonthlyPayroll3[[#This Row],[Total Payable Days]]</f>
        <v>14423.076923076922</v>
      </c>
      <c r="O14" s="72">
        <f>(MonthlyPayroll[[#This Row],[HRA]])/MonthlyPayroll3[[#This Row],[Total 
Days]]*MonthlyPayroll3[[#This Row],[Total Payable Days]]</f>
        <v>0</v>
      </c>
      <c r="P14" s="72">
        <f>(MonthlyPayroll[[#This Row],[Other allowance]])/MonthlyPayroll3[[#This Row],[Total 
Days]]*MonthlyPayroll3[[#This Row],[Total Payable Days]]</f>
        <v>0</v>
      </c>
      <c r="Q14" s="72">
        <f t="shared" si="6"/>
        <v>2000</v>
      </c>
      <c r="R14" s="73">
        <f>SUM(MonthlyPayroll3[[#This Row],[Basic]:[Attendance 
Bonus]])</f>
        <v>16423.076923076922</v>
      </c>
      <c r="S14" s="16">
        <f>(MonthlyPayroll[[#This Row],[PF Wage]])/MonthlyPayroll3[[#This Row],[Total 
Days]]*MonthlyPayroll3[[#This Row],[Total Payable Days]]</f>
        <v>14423.076923076922</v>
      </c>
      <c r="T14" s="16">
        <f t="shared" si="2"/>
        <v>1731</v>
      </c>
      <c r="U14" s="16">
        <f>(MonthlyPayroll[[#This Row],[Esi wage]])/MonthlyPayroll3[[#This Row],[Total 
Days]]*MonthlyPayroll3[[#This Row],[Total Payable Days]]</f>
        <v>14423.076923076922</v>
      </c>
      <c r="V14" s="16">
        <f>0.75%*MonthlyPayroll3[[#This Row],[ESI wage]]</f>
        <v>108.17307692307691</v>
      </c>
      <c r="W14" s="74">
        <f t="shared" si="3"/>
        <v>150</v>
      </c>
      <c r="X14" s="73">
        <f>MonthlyPayroll3[[#This Row],[Employee PF]]+MonthlyPayroll3[[#This Row],[Employee
 ESIC]]+MonthlyPayroll3[[#This Row],[PT]]</f>
        <v>1989.1730769230769</v>
      </c>
      <c r="Y14" s="72">
        <f t="shared" si="7"/>
        <v>14433.903846153846</v>
      </c>
      <c r="Z14" s="75">
        <f t="shared" si="4"/>
        <v>1875</v>
      </c>
      <c r="AA14" s="75">
        <f t="shared" si="8"/>
        <v>534</v>
      </c>
      <c r="AB14" s="16">
        <f t="shared" si="5"/>
        <v>18832.076923076922</v>
      </c>
    </row>
    <row r="15" spans="1:28" ht="28.8" x14ac:dyDescent="0.3">
      <c r="A15" s="67">
        <v>14</v>
      </c>
      <c r="B15" s="68" t="s">
        <v>86</v>
      </c>
      <c r="C15" s="68" t="s">
        <v>87</v>
      </c>
      <c r="D15" s="69" t="s">
        <v>88</v>
      </c>
      <c r="E15" s="70" t="s">
        <v>89</v>
      </c>
      <c r="F15" s="20">
        <v>15662</v>
      </c>
      <c r="G15" s="22">
        <v>50000</v>
      </c>
      <c r="H15" s="71" t="s">
        <v>56</v>
      </c>
      <c r="I15" s="67" t="str">
        <f t="shared" si="0"/>
        <v>YES</v>
      </c>
      <c r="J15" s="67" t="str">
        <f t="shared" si="1"/>
        <v>NO</v>
      </c>
      <c r="K15" s="67">
        <v>26</v>
      </c>
      <c r="L15" s="67">
        <v>15</v>
      </c>
      <c r="M15" s="67">
        <f>MonthlyPayroll3[[#This Row],[Total 
Days]]-MonthlyPayroll3[[#This Row],[Loss of Pay days]]</f>
        <v>11</v>
      </c>
      <c r="N15" s="72">
        <f>(MonthlyPayroll[[#This Row],[Basic]])/MonthlyPayroll3[[#This Row],[Total 
Days]]*MonthlyPayroll3[[#This Row],[Total Payable Days]]</f>
        <v>10576.923076923076</v>
      </c>
      <c r="O15" s="72">
        <f>(MonthlyPayroll[[#This Row],[HRA]])/MonthlyPayroll3[[#This Row],[Total 
Days]]*MonthlyPayroll3[[#This Row],[Total Payable Days]]</f>
        <v>4230.7692307692314</v>
      </c>
      <c r="P15" s="72">
        <f>(MonthlyPayroll[[#This Row],[Other allowance]])/MonthlyPayroll3[[#This Row],[Total 
Days]]*MonthlyPayroll3[[#This Row],[Total Payable Days]]</f>
        <v>6346.1538461538457</v>
      </c>
      <c r="Q15" s="72">
        <f t="shared" si="6"/>
        <v>0</v>
      </c>
      <c r="R15" s="73">
        <f>SUM(MonthlyPayroll3[[#This Row],[Basic]:[Attendance 
Bonus]])</f>
        <v>21153.846153846156</v>
      </c>
      <c r="S15" s="16">
        <f>(MonthlyPayroll[[#This Row],[PF Wage]])/MonthlyPayroll3[[#This Row],[Total 
Days]]*MonthlyPayroll3[[#This Row],[Total Payable Days]]</f>
        <v>6346.1538461538457</v>
      </c>
      <c r="T15" s="16">
        <f t="shared" si="2"/>
        <v>1587</v>
      </c>
      <c r="U15" s="16">
        <f>(MonthlyPayroll[[#This Row],[Esi wage]])/MonthlyPayroll3[[#This Row],[Total 
Days]]*MonthlyPayroll3[[#This Row],[Total Payable Days]]</f>
        <v>0</v>
      </c>
      <c r="V15" s="16">
        <f>0.75%*MonthlyPayroll3[[#This Row],[ESI wage]]</f>
        <v>0</v>
      </c>
      <c r="W15" s="74">
        <f t="shared" si="3"/>
        <v>200</v>
      </c>
      <c r="X15" s="73">
        <f>MonthlyPayroll3[[#This Row],[Employee PF]]+MonthlyPayroll3[[#This Row],[Employee
 ESIC]]+MonthlyPayroll3[[#This Row],[PT]]</f>
        <v>1787</v>
      </c>
      <c r="Y15" s="72">
        <f t="shared" si="7"/>
        <v>19366.846153846156</v>
      </c>
      <c r="Z15" s="75">
        <f t="shared" si="4"/>
        <v>0</v>
      </c>
      <c r="AA15" s="75">
        <f t="shared" si="8"/>
        <v>0</v>
      </c>
      <c r="AB15" s="16">
        <f t="shared" si="5"/>
        <v>21153.846153846156</v>
      </c>
    </row>
    <row r="16" spans="1:28" x14ac:dyDescent="0.3">
      <c r="A16" s="67">
        <v>15</v>
      </c>
      <c r="B16" s="68" t="s">
        <v>90</v>
      </c>
      <c r="C16" s="68" t="s">
        <v>91</v>
      </c>
      <c r="D16" s="69" t="s">
        <v>76</v>
      </c>
      <c r="E16" s="70" t="s">
        <v>77</v>
      </c>
      <c r="F16" s="20">
        <v>13417</v>
      </c>
      <c r="G16" s="22">
        <v>15000</v>
      </c>
      <c r="H16" s="71" t="s">
        <v>73</v>
      </c>
      <c r="I16" s="67" t="s">
        <v>103</v>
      </c>
      <c r="J16" s="67" t="str">
        <f t="shared" si="1"/>
        <v>YES</v>
      </c>
      <c r="K16" s="67">
        <v>26</v>
      </c>
      <c r="L16" s="67">
        <v>6</v>
      </c>
      <c r="M16" s="67">
        <f>MonthlyPayroll3[[#This Row],[Total 
Days]]-MonthlyPayroll3[[#This Row],[Loss of Pay days]]</f>
        <v>20</v>
      </c>
      <c r="N16" s="72">
        <f>(MonthlyPayroll[[#This Row],[Basic]])/MonthlyPayroll3[[#This Row],[Total 
Days]]*MonthlyPayroll3[[#This Row],[Total Payable Days]]</f>
        <v>11538.461538461539</v>
      </c>
      <c r="O16" s="72">
        <f>(MonthlyPayroll[[#This Row],[HRA]])/MonthlyPayroll3[[#This Row],[Total 
Days]]*MonthlyPayroll3[[#This Row],[Total Payable Days]]</f>
        <v>0</v>
      </c>
      <c r="P16" s="72">
        <f>(MonthlyPayroll[[#This Row],[Other allowance]])/MonthlyPayroll3[[#This Row],[Total 
Days]]*MonthlyPayroll3[[#This Row],[Total Payable Days]]</f>
        <v>0</v>
      </c>
      <c r="Q16" s="72">
        <f t="shared" si="6"/>
        <v>0</v>
      </c>
      <c r="R16" s="73">
        <f>SUM(MonthlyPayroll3[[#This Row],[Basic]:[Attendance 
Bonus]])</f>
        <v>11538.461538461539</v>
      </c>
      <c r="S16" s="16">
        <f>(MonthlyPayroll[[#This Row],[PF Wage]])/MonthlyPayroll3[[#This Row],[Total 
Days]]*MonthlyPayroll3[[#This Row],[Total Payable Days]]</f>
        <v>0</v>
      </c>
      <c r="T16" s="16">
        <f t="shared" si="2"/>
        <v>0</v>
      </c>
      <c r="U16" s="16">
        <f>(MonthlyPayroll[[#This Row],[Esi wage]])/MonthlyPayroll3[[#This Row],[Total 
Days]]*MonthlyPayroll3[[#This Row],[Total Payable Days]]</f>
        <v>11538.461538461539</v>
      </c>
      <c r="V16" s="16">
        <f>0.75%*MonthlyPayroll3[[#This Row],[ESI wage]]</f>
        <v>86.538461538461533</v>
      </c>
      <c r="W16" s="74">
        <f t="shared" si="3"/>
        <v>0</v>
      </c>
      <c r="X16" s="73">
        <f>MonthlyPayroll3[[#This Row],[Employee PF]]+MonthlyPayroll3[[#This Row],[Employee
 ESIC]]+MonthlyPayroll3[[#This Row],[PT]]</f>
        <v>86.538461538461533</v>
      </c>
      <c r="Y16" s="72">
        <f t="shared" si="7"/>
        <v>11451.923076923078</v>
      </c>
      <c r="Z16" s="75">
        <f t="shared" si="4"/>
        <v>0</v>
      </c>
      <c r="AA16" s="75">
        <f t="shared" si="8"/>
        <v>375</v>
      </c>
      <c r="AB16" s="16">
        <f t="shared" si="5"/>
        <v>11913.461538461539</v>
      </c>
    </row>
    <row r="17" spans="1:30" x14ac:dyDescent="0.3">
      <c r="A17" s="67">
        <v>16</v>
      </c>
      <c r="B17" s="68" t="s">
        <v>92</v>
      </c>
      <c r="C17" s="68" t="s">
        <v>91</v>
      </c>
      <c r="D17" s="69" t="s">
        <v>76</v>
      </c>
      <c r="E17" s="70" t="s">
        <v>77</v>
      </c>
      <c r="F17" s="20">
        <v>13417</v>
      </c>
      <c r="G17" s="22">
        <v>15000</v>
      </c>
      <c r="H17" s="71" t="s">
        <v>73</v>
      </c>
      <c r="I17" s="67" t="s">
        <v>73</v>
      </c>
      <c r="J17" s="67" t="str">
        <f t="shared" si="1"/>
        <v>YES</v>
      </c>
      <c r="K17" s="67">
        <v>26</v>
      </c>
      <c r="L17" s="67">
        <v>6</v>
      </c>
      <c r="M17" s="67">
        <f>MonthlyPayroll3[[#This Row],[Total 
Days]]-MonthlyPayroll3[[#This Row],[Loss of Pay days]]</f>
        <v>20</v>
      </c>
      <c r="N17" s="72">
        <f>(MonthlyPayroll[[#This Row],[Basic]])/MonthlyPayroll3[[#This Row],[Total 
Days]]*MonthlyPayroll3[[#This Row],[Total Payable Days]]</f>
        <v>11538.461538461539</v>
      </c>
      <c r="O17" s="72">
        <f>(MonthlyPayroll[[#This Row],[HRA]])/MonthlyPayroll3[[#This Row],[Total 
Days]]*MonthlyPayroll3[[#This Row],[Total Payable Days]]</f>
        <v>0</v>
      </c>
      <c r="P17" s="72">
        <f>(MonthlyPayroll[[#This Row],[Other allowance]])/MonthlyPayroll3[[#This Row],[Total 
Days]]*MonthlyPayroll3[[#This Row],[Total Payable Days]]</f>
        <v>0</v>
      </c>
      <c r="Q17" s="72">
        <f t="shared" si="6"/>
        <v>0</v>
      </c>
      <c r="R17" s="73">
        <f>SUM(MonthlyPayroll3[[#This Row],[Basic]:[Attendance 
Bonus]])</f>
        <v>11538.461538461539</v>
      </c>
      <c r="S17" s="16">
        <f>(MonthlyPayroll[[#This Row],[PF Wage]])/MonthlyPayroll3[[#This Row],[Total 
Days]]*MonthlyPayroll3[[#This Row],[Total Payable Days]]</f>
        <v>0</v>
      </c>
      <c r="T17" s="16">
        <f t="shared" si="2"/>
        <v>0</v>
      </c>
      <c r="U17" s="16">
        <f>(MonthlyPayroll[[#This Row],[Esi wage]])/MonthlyPayroll3[[#This Row],[Total 
Days]]*MonthlyPayroll3[[#This Row],[Total Payable Days]]</f>
        <v>11538.461538461539</v>
      </c>
      <c r="V17" s="16">
        <f>0.75%*MonthlyPayroll3[[#This Row],[ESI wage]]</f>
        <v>86.538461538461533</v>
      </c>
      <c r="W17" s="74">
        <f t="shared" si="3"/>
        <v>0</v>
      </c>
      <c r="X17" s="73">
        <f>MonthlyPayroll3[[#This Row],[Employee PF]]+MonthlyPayroll3[[#This Row],[Employee
 ESIC]]+MonthlyPayroll3[[#This Row],[PT]]</f>
        <v>86.538461538461533</v>
      </c>
      <c r="Y17" s="72">
        <f t="shared" si="7"/>
        <v>11451.923076923078</v>
      </c>
      <c r="Z17" s="75">
        <f t="shared" si="4"/>
        <v>0</v>
      </c>
      <c r="AA17" s="75">
        <f t="shared" si="8"/>
        <v>375</v>
      </c>
      <c r="AB17" s="16">
        <f t="shared" si="5"/>
        <v>11913.461538461539</v>
      </c>
    </row>
    <row r="18" spans="1:30" x14ac:dyDescent="0.3">
      <c r="A18" s="67">
        <v>17</v>
      </c>
      <c r="B18" s="68" t="s">
        <v>93</v>
      </c>
      <c r="C18" s="68" t="s">
        <v>94</v>
      </c>
      <c r="D18" s="69" t="s">
        <v>88</v>
      </c>
      <c r="E18" s="70" t="s">
        <v>89</v>
      </c>
      <c r="F18" s="20">
        <v>15662</v>
      </c>
      <c r="G18" s="22">
        <v>100000</v>
      </c>
      <c r="H18" s="71" t="s">
        <v>56</v>
      </c>
      <c r="I18" s="67" t="str">
        <f t="shared" si="0"/>
        <v>YES</v>
      </c>
      <c r="J18" s="67" t="str">
        <f t="shared" si="1"/>
        <v>NO</v>
      </c>
      <c r="K18" s="67">
        <v>26</v>
      </c>
      <c r="L18" s="67">
        <v>2</v>
      </c>
      <c r="M18" s="67">
        <f>MonthlyPayroll3[[#This Row],[Total 
Days]]-MonthlyPayroll3[[#This Row],[Loss of Pay days]]</f>
        <v>24</v>
      </c>
      <c r="N18" s="72">
        <f>(MonthlyPayroll[[#This Row],[Basic]])/MonthlyPayroll3[[#This Row],[Total 
Days]]*MonthlyPayroll3[[#This Row],[Total Payable Days]]</f>
        <v>46153.846153846156</v>
      </c>
      <c r="O18" s="72">
        <f>(MonthlyPayroll[[#This Row],[HRA]])/MonthlyPayroll3[[#This Row],[Total 
Days]]*MonthlyPayroll3[[#This Row],[Total Payable Days]]</f>
        <v>18461.538461538461</v>
      </c>
      <c r="P18" s="72">
        <f>(MonthlyPayroll[[#This Row],[Other allowance]])/MonthlyPayroll3[[#This Row],[Total 
Days]]*MonthlyPayroll3[[#This Row],[Total Payable Days]]</f>
        <v>27692.307692307691</v>
      </c>
      <c r="Q18" s="72">
        <f t="shared" si="6"/>
        <v>0</v>
      </c>
      <c r="R18" s="73">
        <f>SUM(MonthlyPayroll3[[#This Row],[Basic]:[Attendance 
Bonus]])</f>
        <v>92307.692307692312</v>
      </c>
      <c r="S18" s="16">
        <f>(MonthlyPayroll[[#This Row],[PF Wage]])/MonthlyPayroll3[[#This Row],[Total 
Days]]*MonthlyPayroll3[[#This Row],[Total Payable Days]]</f>
        <v>13846.153846153846</v>
      </c>
      <c r="T18" s="16">
        <f t="shared" si="2"/>
        <v>3462</v>
      </c>
      <c r="U18" s="16">
        <f>(MonthlyPayroll[[#This Row],[Esi wage]])/MonthlyPayroll3[[#This Row],[Total 
Days]]*MonthlyPayroll3[[#This Row],[Total Payable Days]]</f>
        <v>0</v>
      </c>
      <c r="V18" s="16">
        <f>0.75%*MonthlyPayroll3[[#This Row],[ESI wage]]</f>
        <v>0</v>
      </c>
      <c r="W18" s="74">
        <f t="shared" si="3"/>
        <v>200</v>
      </c>
      <c r="X18" s="73">
        <f>MonthlyPayroll3[[#This Row],[Employee PF]]+MonthlyPayroll3[[#This Row],[Employee
 ESIC]]+MonthlyPayroll3[[#This Row],[PT]]</f>
        <v>3662</v>
      </c>
      <c r="Y18" s="72">
        <f t="shared" si="7"/>
        <v>88645.692307692312</v>
      </c>
      <c r="Z18" s="75">
        <f t="shared" si="4"/>
        <v>0</v>
      </c>
      <c r="AA18" s="75">
        <f t="shared" si="8"/>
        <v>0</v>
      </c>
      <c r="AB18" s="16">
        <f t="shared" si="5"/>
        <v>92307.692307692312</v>
      </c>
    </row>
    <row r="19" spans="1:30" x14ac:dyDescent="0.3">
      <c r="A19" s="67">
        <v>18</v>
      </c>
      <c r="B19" s="68" t="s">
        <v>95</v>
      </c>
      <c r="C19" s="68" t="s">
        <v>96</v>
      </c>
      <c r="D19" s="69" t="s">
        <v>88</v>
      </c>
      <c r="E19" s="70" t="s">
        <v>89</v>
      </c>
      <c r="F19" s="20">
        <v>15662</v>
      </c>
      <c r="G19" s="22">
        <v>88082</v>
      </c>
      <c r="H19" s="71" t="s">
        <v>56</v>
      </c>
      <c r="I19" s="67" t="str">
        <f t="shared" si="0"/>
        <v>YES</v>
      </c>
      <c r="J19" s="67" t="str">
        <f t="shared" si="1"/>
        <v>NO</v>
      </c>
      <c r="K19" s="67">
        <v>26</v>
      </c>
      <c r="L19" s="67">
        <v>0</v>
      </c>
      <c r="M19" s="67">
        <f>MonthlyPayroll3[[#This Row],[Total 
Days]]-MonthlyPayroll3[[#This Row],[Loss of Pay days]]</f>
        <v>26</v>
      </c>
      <c r="N19" s="72">
        <f>(MonthlyPayroll[[#This Row],[Basic]])/MonthlyPayroll3[[#This Row],[Total 
Days]]*MonthlyPayroll3[[#This Row],[Total Payable Days]]</f>
        <v>44041</v>
      </c>
      <c r="O19" s="72">
        <f>(MonthlyPayroll[[#This Row],[HRA]])/MonthlyPayroll3[[#This Row],[Total 
Days]]*MonthlyPayroll3[[#This Row],[Total Payable Days]]</f>
        <v>17616.400000000001</v>
      </c>
      <c r="P19" s="72">
        <f>(MonthlyPayroll[[#This Row],[Other allowance]])/MonthlyPayroll3[[#This Row],[Total 
Days]]*MonthlyPayroll3[[#This Row],[Total Payable Days]]</f>
        <v>26424.6</v>
      </c>
      <c r="Q19" s="72">
        <f t="shared" si="6"/>
        <v>0</v>
      </c>
      <c r="R19" s="73">
        <f>SUM(MonthlyPayroll3[[#This Row],[Basic]:[Attendance 
Bonus]])</f>
        <v>88082</v>
      </c>
      <c r="S19" s="16">
        <f>(MonthlyPayroll[[#This Row],[PF Wage]])/MonthlyPayroll3[[#This Row],[Total 
Days]]*MonthlyPayroll3[[#This Row],[Total Payable Days]]</f>
        <v>15000</v>
      </c>
      <c r="T19" s="16">
        <f t="shared" si="2"/>
        <v>3750</v>
      </c>
      <c r="U19" s="16">
        <f>(MonthlyPayroll[[#This Row],[Esi wage]])/MonthlyPayroll3[[#This Row],[Total 
Days]]*MonthlyPayroll3[[#This Row],[Total Payable Days]]</f>
        <v>0</v>
      </c>
      <c r="V19" s="16">
        <f>0.75%*MonthlyPayroll3[[#This Row],[ESI wage]]</f>
        <v>0</v>
      </c>
      <c r="W19" s="74">
        <f t="shared" si="3"/>
        <v>200</v>
      </c>
      <c r="X19" s="73">
        <f>MonthlyPayroll3[[#This Row],[Employee PF]]+MonthlyPayroll3[[#This Row],[Employee
 ESIC]]+MonthlyPayroll3[[#This Row],[PT]]</f>
        <v>3950</v>
      </c>
      <c r="Y19" s="72">
        <f t="shared" si="7"/>
        <v>84132</v>
      </c>
      <c r="Z19" s="75">
        <f t="shared" si="4"/>
        <v>0</v>
      </c>
      <c r="AA19" s="75">
        <f t="shared" si="8"/>
        <v>0</v>
      </c>
      <c r="AB19" s="16">
        <f t="shared" si="5"/>
        <v>88082</v>
      </c>
    </row>
    <row r="20" spans="1:30" x14ac:dyDescent="0.3">
      <c r="A20" s="67">
        <v>19</v>
      </c>
      <c r="B20" s="68" t="s">
        <v>97</v>
      </c>
      <c r="C20" s="68" t="s">
        <v>98</v>
      </c>
      <c r="D20" s="69" t="s">
        <v>88</v>
      </c>
      <c r="E20" s="70" t="s">
        <v>89</v>
      </c>
      <c r="F20" s="20">
        <v>15662</v>
      </c>
      <c r="G20" s="22">
        <v>76217</v>
      </c>
      <c r="H20" s="71" t="s">
        <v>56</v>
      </c>
      <c r="I20" s="67" t="str">
        <f t="shared" si="0"/>
        <v>YES</v>
      </c>
      <c r="J20" s="67" t="str">
        <f t="shared" si="1"/>
        <v>NO</v>
      </c>
      <c r="K20" s="67">
        <v>26</v>
      </c>
      <c r="L20" s="67">
        <v>0</v>
      </c>
      <c r="M20" s="67">
        <f>MonthlyPayroll3[[#This Row],[Total 
Days]]-MonthlyPayroll3[[#This Row],[Loss of Pay days]]</f>
        <v>26</v>
      </c>
      <c r="N20" s="72">
        <f>(MonthlyPayroll[[#This Row],[Basic]])/MonthlyPayroll3[[#This Row],[Total 
Days]]*MonthlyPayroll3[[#This Row],[Total Payable Days]]</f>
        <v>38108.5</v>
      </c>
      <c r="O20" s="72">
        <f>(MonthlyPayroll[[#This Row],[HRA]])/MonthlyPayroll3[[#This Row],[Total 
Days]]*MonthlyPayroll3[[#This Row],[Total Payable Days]]</f>
        <v>15243.400000000001</v>
      </c>
      <c r="P20" s="72">
        <f>(MonthlyPayroll[[#This Row],[Other allowance]])/MonthlyPayroll3[[#This Row],[Total 
Days]]*MonthlyPayroll3[[#This Row],[Total Payable Days]]</f>
        <v>22865.1</v>
      </c>
      <c r="Q20" s="72">
        <f t="shared" si="6"/>
        <v>0</v>
      </c>
      <c r="R20" s="73">
        <f>SUM(MonthlyPayroll3[[#This Row],[Basic]:[Attendance 
Bonus]])</f>
        <v>76217</v>
      </c>
      <c r="S20" s="16">
        <f>(MonthlyPayroll[[#This Row],[PF Wage]])/MonthlyPayroll3[[#This Row],[Total 
Days]]*MonthlyPayroll3[[#This Row],[Total Payable Days]]</f>
        <v>15000</v>
      </c>
      <c r="T20" s="16">
        <f t="shared" si="2"/>
        <v>3750</v>
      </c>
      <c r="U20" s="16">
        <f>(MonthlyPayroll[[#This Row],[Esi wage]])/MonthlyPayroll3[[#This Row],[Total 
Days]]*MonthlyPayroll3[[#This Row],[Total Payable Days]]</f>
        <v>0</v>
      </c>
      <c r="V20" s="16">
        <f>0.75%*MonthlyPayroll3[[#This Row],[ESI wage]]</f>
        <v>0</v>
      </c>
      <c r="W20" s="74">
        <f t="shared" si="3"/>
        <v>200</v>
      </c>
      <c r="X20" s="73">
        <f>MonthlyPayroll3[[#This Row],[Employee PF]]+MonthlyPayroll3[[#This Row],[Employee
 ESIC]]+MonthlyPayroll3[[#This Row],[PT]]</f>
        <v>3950</v>
      </c>
      <c r="Y20" s="72">
        <f t="shared" si="7"/>
        <v>72267</v>
      </c>
      <c r="Z20" s="75">
        <f t="shared" si="4"/>
        <v>0</v>
      </c>
      <c r="AA20" s="75">
        <f t="shared" si="8"/>
        <v>0</v>
      </c>
      <c r="AB20" s="16">
        <f t="shared" si="5"/>
        <v>76217</v>
      </c>
    </row>
    <row r="21" spans="1:30" x14ac:dyDescent="0.3">
      <c r="A21" s="67">
        <v>20</v>
      </c>
      <c r="B21" s="68" t="s">
        <v>99</v>
      </c>
      <c r="C21" s="68" t="s">
        <v>100</v>
      </c>
      <c r="D21" s="69" t="s">
        <v>88</v>
      </c>
      <c r="E21" s="70" t="s">
        <v>89</v>
      </c>
      <c r="F21" s="20">
        <v>15662</v>
      </c>
      <c r="G21" s="22">
        <v>42010</v>
      </c>
      <c r="H21" s="71" t="s">
        <v>56</v>
      </c>
      <c r="I21" s="67" t="str">
        <f t="shared" si="0"/>
        <v>YES</v>
      </c>
      <c r="J21" s="67" t="str">
        <f t="shared" si="1"/>
        <v>NO</v>
      </c>
      <c r="K21" s="67">
        <v>26</v>
      </c>
      <c r="L21" s="67">
        <v>0</v>
      </c>
      <c r="M21" s="67">
        <f>MonthlyPayroll3[[#This Row],[Total 
Days]]-MonthlyPayroll3[[#This Row],[Loss of Pay days]]</f>
        <v>26</v>
      </c>
      <c r="N21" s="72">
        <f>(MonthlyPayroll[[#This Row],[Basic]])/MonthlyPayroll3[[#This Row],[Total 
Days]]*MonthlyPayroll3[[#This Row],[Total Payable Days]]</f>
        <v>21005</v>
      </c>
      <c r="O21" s="72">
        <f>(MonthlyPayroll[[#This Row],[HRA]])/MonthlyPayroll3[[#This Row],[Total 
Days]]*MonthlyPayroll3[[#This Row],[Total Payable Days]]</f>
        <v>8402</v>
      </c>
      <c r="P21" s="72">
        <f>(MonthlyPayroll[[#This Row],[Other allowance]])/MonthlyPayroll3[[#This Row],[Total 
Days]]*MonthlyPayroll3[[#This Row],[Total Payable Days]]</f>
        <v>12603</v>
      </c>
      <c r="Q21" s="72">
        <f t="shared" si="6"/>
        <v>0</v>
      </c>
      <c r="R21" s="73">
        <f>SUM(MonthlyPayroll3[[#This Row],[Basic]:[Attendance 
Bonus]])</f>
        <v>42010</v>
      </c>
      <c r="S21" s="16">
        <f>(MonthlyPayroll[[#This Row],[PF Wage]])/MonthlyPayroll3[[#This Row],[Total 
Days]]*MonthlyPayroll3[[#This Row],[Total Payable Days]]</f>
        <v>15000</v>
      </c>
      <c r="T21" s="16">
        <f t="shared" si="2"/>
        <v>3750</v>
      </c>
      <c r="U21" s="16">
        <f>(MonthlyPayroll[[#This Row],[Esi wage]])/MonthlyPayroll3[[#This Row],[Total 
Days]]*MonthlyPayroll3[[#This Row],[Total Payable Days]]</f>
        <v>0</v>
      </c>
      <c r="V21" s="16">
        <f>0.75%*MonthlyPayroll3[[#This Row],[ESI wage]]</f>
        <v>0</v>
      </c>
      <c r="W21" s="74">
        <f t="shared" si="3"/>
        <v>200</v>
      </c>
      <c r="X21" s="73">
        <f>MonthlyPayroll3[[#This Row],[Employee PF]]+MonthlyPayroll3[[#This Row],[Employee
 ESIC]]+MonthlyPayroll3[[#This Row],[PT]]</f>
        <v>3950</v>
      </c>
      <c r="Y21" s="72">
        <f t="shared" si="7"/>
        <v>38060</v>
      </c>
      <c r="Z21" s="75">
        <f t="shared" si="4"/>
        <v>0</v>
      </c>
      <c r="AA21" s="75">
        <f t="shared" si="8"/>
        <v>0</v>
      </c>
      <c r="AB21" s="16">
        <f t="shared" si="5"/>
        <v>42010</v>
      </c>
    </row>
    <row r="22" spans="1:30" x14ac:dyDescent="0.3">
      <c r="A22" s="67">
        <v>21</v>
      </c>
      <c r="B22" s="76" t="s">
        <v>101</v>
      </c>
      <c r="C22" s="68" t="s">
        <v>75</v>
      </c>
      <c r="D22" s="76" t="s">
        <v>102</v>
      </c>
      <c r="E22" s="77" t="s">
        <v>77</v>
      </c>
      <c r="F22" s="71">
        <v>13417</v>
      </c>
      <c r="G22" s="78">
        <v>15000</v>
      </c>
      <c r="H22" s="71" t="s">
        <v>103</v>
      </c>
      <c r="I22" s="67" t="s">
        <v>73</v>
      </c>
      <c r="J22" s="67" t="str">
        <f t="shared" si="1"/>
        <v>YES</v>
      </c>
      <c r="K22" s="67">
        <v>26</v>
      </c>
      <c r="L22" s="67">
        <v>15</v>
      </c>
      <c r="M22" s="67">
        <f>MonthlyPayroll3[[#This Row],[Total 
Days]]-MonthlyPayroll3[[#This Row],[Loss of Pay days]]</f>
        <v>11</v>
      </c>
      <c r="N22" s="72">
        <f>(MonthlyPayroll[[#This Row],[Basic]])/MonthlyPayroll3[[#This Row],[Total 
Days]]*MonthlyPayroll3[[#This Row],[Total Payable Days]]</f>
        <v>6346.1538461538457</v>
      </c>
      <c r="O22" s="72">
        <f>(MonthlyPayroll[[#This Row],[HRA]])/MonthlyPayroll3[[#This Row],[Total 
Days]]*MonthlyPayroll3[[#This Row],[Total Payable Days]]</f>
        <v>0</v>
      </c>
      <c r="P22" s="72">
        <f>(MonthlyPayroll[[#This Row],[Other allowance]])/MonthlyPayroll3[[#This Row],[Total 
Days]]*MonthlyPayroll3[[#This Row],[Total Payable Days]]</f>
        <v>0</v>
      </c>
      <c r="Q22" s="72">
        <f t="shared" si="6"/>
        <v>0</v>
      </c>
      <c r="R22" s="73">
        <f>SUM(MonthlyPayroll3[[#This Row],[Basic]:[Attendance 
Bonus]])</f>
        <v>6346.1538461538457</v>
      </c>
      <c r="S22" s="16">
        <f>(MonthlyPayroll[[#This Row],[PF Wage]])/MonthlyPayroll3[[#This Row],[Total 
Days]]*MonthlyPayroll3[[#This Row],[Total Payable Days]]</f>
        <v>0</v>
      </c>
      <c r="T22" s="16">
        <f t="shared" si="2"/>
        <v>0</v>
      </c>
      <c r="U22" s="16">
        <f>(MonthlyPayroll[[#This Row],[Esi wage]])/MonthlyPayroll3[[#This Row],[Total 
Days]]*MonthlyPayroll3[[#This Row],[Total Payable Days]]</f>
        <v>6346.1538461538457</v>
      </c>
      <c r="V22" s="16">
        <f>0.75%*MonthlyPayroll3[[#This Row],[ESI wage]]</f>
        <v>47.59615384615384</v>
      </c>
      <c r="W22" s="74">
        <f t="shared" si="3"/>
        <v>0</v>
      </c>
      <c r="X22" s="73">
        <f>MonthlyPayroll3[[#This Row],[Employee PF]]+MonthlyPayroll3[[#This Row],[Employee
 ESIC]]+MonthlyPayroll3[[#This Row],[PT]]</f>
        <v>47.59615384615384</v>
      </c>
      <c r="Y22" s="72">
        <f t="shared" si="7"/>
        <v>6298.5576923076915</v>
      </c>
      <c r="Z22" s="75">
        <f t="shared" si="4"/>
        <v>0</v>
      </c>
      <c r="AA22" s="75">
        <f t="shared" si="8"/>
        <v>206</v>
      </c>
      <c r="AB22" s="16">
        <f t="shared" si="5"/>
        <v>6552.1538461538457</v>
      </c>
    </row>
    <row r="23" spans="1:30" x14ac:dyDescent="0.3">
      <c r="A23" s="67">
        <v>22</v>
      </c>
      <c r="B23" s="76" t="s">
        <v>104</v>
      </c>
      <c r="C23" s="68" t="s">
        <v>67</v>
      </c>
      <c r="D23" s="69" t="s">
        <v>62</v>
      </c>
      <c r="E23" s="77" t="s">
        <v>63</v>
      </c>
      <c r="F23" s="20">
        <v>12720</v>
      </c>
      <c r="G23" s="22">
        <v>12720</v>
      </c>
      <c r="H23" s="71" t="s">
        <v>56</v>
      </c>
      <c r="I23" s="67" t="str">
        <f t="shared" si="0"/>
        <v>YES</v>
      </c>
      <c r="J23" s="67" t="str">
        <f t="shared" si="1"/>
        <v>YES</v>
      </c>
      <c r="K23" s="67">
        <v>26</v>
      </c>
      <c r="L23" s="67">
        <v>14</v>
      </c>
      <c r="M23" s="67">
        <f>MonthlyPayroll3[[#This Row],[Total 
Days]]-MonthlyPayroll3[[#This Row],[Loss of Pay days]]</f>
        <v>12</v>
      </c>
      <c r="N23" s="72">
        <f>(MonthlyPayroll[[#This Row],[Basic]])/MonthlyPayroll3[[#This Row],[Total 
Days]]*MonthlyPayroll3[[#This Row],[Total Payable Days]]</f>
        <v>5870.7692307692305</v>
      </c>
      <c r="O23" s="72">
        <f>(MonthlyPayroll[[#This Row],[HRA]])/MonthlyPayroll3[[#This Row],[Total 
Days]]*MonthlyPayroll3[[#This Row],[Total Payable Days]]</f>
        <v>0</v>
      </c>
      <c r="P23" s="72">
        <f>(MonthlyPayroll[[#This Row],[Other allowance]])/MonthlyPayroll3[[#This Row],[Total 
Days]]*MonthlyPayroll3[[#This Row],[Total Payable Days]]</f>
        <v>0</v>
      </c>
      <c r="Q23" s="72">
        <f t="shared" si="6"/>
        <v>0</v>
      </c>
      <c r="R23" s="73">
        <f>SUM(MonthlyPayroll3[[#This Row],[Basic]:[Attendance 
Bonus]])</f>
        <v>5870.7692307692305</v>
      </c>
      <c r="S23" s="16">
        <f>(MonthlyPayroll[[#This Row],[PF Wage]])/MonthlyPayroll3[[#This Row],[Total 
Days]]*MonthlyPayroll3[[#This Row],[Total Payable Days]]</f>
        <v>5870.7692307692305</v>
      </c>
      <c r="T23" s="16">
        <f t="shared" si="2"/>
        <v>704</v>
      </c>
      <c r="U23" s="16">
        <f>(MonthlyPayroll[[#This Row],[Esi wage]])/MonthlyPayroll3[[#This Row],[Total 
Days]]*MonthlyPayroll3[[#This Row],[Total Payable Days]]</f>
        <v>5870.7692307692305</v>
      </c>
      <c r="V23" s="16">
        <f>0.75%*MonthlyPayroll3[[#This Row],[ESI wage]]</f>
        <v>44.030769230769224</v>
      </c>
      <c r="W23" s="74">
        <f t="shared" si="3"/>
        <v>0</v>
      </c>
      <c r="X23" s="73">
        <f>MonthlyPayroll3[[#This Row],[Employee PF]]+MonthlyPayroll3[[#This Row],[Employee
 ESIC]]+MonthlyPayroll3[[#This Row],[PT]]</f>
        <v>748.03076923076924</v>
      </c>
      <c r="Y23" s="72">
        <f t="shared" si="7"/>
        <v>5122.7384615384617</v>
      </c>
      <c r="Z23" s="75">
        <f t="shared" si="4"/>
        <v>763</v>
      </c>
      <c r="AA23" s="75">
        <f t="shared" si="8"/>
        <v>191</v>
      </c>
      <c r="AB23" s="16">
        <f t="shared" si="5"/>
        <v>6824.7692307692305</v>
      </c>
    </row>
    <row r="24" spans="1:30" x14ac:dyDescent="0.3">
      <c r="A24" s="67">
        <v>23</v>
      </c>
      <c r="B24" s="76" t="s">
        <v>105</v>
      </c>
      <c r="C24" s="68" t="s">
        <v>67</v>
      </c>
      <c r="D24" s="69" t="s">
        <v>62</v>
      </c>
      <c r="E24" s="77" t="s">
        <v>63</v>
      </c>
      <c r="F24" s="20">
        <v>12720</v>
      </c>
      <c r="G24" s="22">
        <v>12720</v>
      </c>
      <c r="H24" s="71" t="s">
        <v>106</v>
      </c>
      <c r="I24" s="67" t="str">
        <f t="shared" si="0"/>
        <v>YES</v>
      </c>
      <c r="J24" s="67" t="str">
        <f t="shared" si="1"/>
        <v>YES</v>
      </c>
      <c r="K24" s="67">
        <v>26</v>
      </c>
      <c r="L24" s="67">
        <v>14</v>
      </c>
      <c r="M24" s="67">
        <f>MonthlyPayroll3[[#This Row],[Total 
Days]]-MonthlyPayroll3[[#This Row],[Loss of Pay days]]</f>
        <v>12</v>
      </c>
      <c r="N24" s="72">
        <f>(MonthlyPayroll[[#This Row],[Basic]])/MonthlyPayroll3[[#This Row],[Total 
Days]]*MonthlyPayroll3[[#This Row],[Total Payable Days]]</f>
        <v>5870.7692307692305</v>
      </c>
      <c r="O24" s="72">
        <f>(MonthlyPayroll[[#This Row],[HRA]])/MonthlyPayroll3[[#This Row],[Total 
Days]]*MonthlyPayroll3[[#This Row],[Total Payable Days]]</f>
        <v>0</v>
      </c>
      <c r="P24" s="72">
        <f>(MonthlyPayroll[[#This Row],[Other allowance]])/MonthlyPayroll3[[#This Row],[Total 
Days]]*MonthlyPayroll3[[#This Row],[Total Payable Days]]</f>
        <v>0</v>
      </c>
      <c r="Q24" s="72">
        <f t="shared" si="6"/>
        <v>0</v>
      </c>
      <c r="R24" s="73">
        <f>SUM(MonthlyPayroll3[[#This Row],[Basic]:[Attendance 
Bonus]])</f>
        <v>5870.7692307692305</v>
      </c>
      <c r="S24" s="16">
        <f>(MonthlyPayroll[[#This Row],[PF Wage]])/MonthlyPayroll3[[#This Row],[Total 
Days]]*MonthlyPayroll3[[#This Row],[Total Payable Days]]</f>
        <v>5870.7692307692305</v>
      </c>
      <c r="T24" s="16">
        <f t="shared" si="2"/>
        <v>704</v>
      </c>
      <c r="U24" s="16">
        <f>(MonthlyPayroll[[#This Row],[Esi wage]])/MonthlyPayroll3[[#This Row],[Total 
Days]]*MonthlyPayroll3[[#This Row],[Total Payable Days]]</f>
        <v>5870.7692307692305</v>
      </c>
      <c r="V24" s="16">
        <f>0.75%*MonthlyPayroll3[[#This Row],[ESI wage]]</f>
        <v>44.030769230769224</v>
      </c>
      <c r="W24" s="74">
        <f t="shared" si="3"/>
        <v>0</v>
      </c>
      <c r="X24" s="73">
        <f>MonthlyPayroll3[[#This Row],[Employee PF]]+MonthlyPayroll3[[#This Row],[Employee
 ESIC]]+MonthlyPayroll3[[#This Row],[PT]]</f>
        <v>748.03076923076924</v>
      </c>
      <c r="Y24" s="72">
        <f t="shared" si="7"/>
        <v>5122.7384615384617</v>
      </c>
      <c r="Z24" s="75">
        <f t="shared" si="4"/>
        <v>763</v>
      </c>
      <c r="AA24" s="75">
        <f t="shared" si="8"/>
        <v>191</v>
      </c>
      <c r="AB24" s="16">
        <f t="shared" si="5"/>
        <v>6824.7692307692305</v>
      </c>
    </row>
    <row r="25" spans="1:30" x14ac:dyDescent="0.3">
      <c r="A25" s="67">
        <v>24</v>
      </c>
      <c r="B25" s="76"/>
      <c r="C25" s="76"/>
      <c r="D25" s="76"/>
      <c r="E25" s="71"/>
      <c r="F25" s="71"/>
      <c r="G25" s="79">
        <f>SUBTOTAL(109,G2:G24)</f>
        <v>623069</v>
      </c>
      <c r="H25" s="71"/>
      <c r="I25" s="67" t="str">
        <f t="shared" si="0"/>
        <v/>
      </c>
      <c r="J25" s="67"/>
      <c r="K25" s="67"/>
      <c r="L25" s="67"/>
      <c r="M25" s="67"/>
      <c r="N25" s="72">
        <f>SUBTOTAL(109,N2:N24)</f>
        <v>353408.34615384624</v>
      </c>
      <c r="O25" s="72"/>
      <c r="P25" s="72"/>
      <c r="Q25" s="72"/>
      <c r="R25" s="73">
        <f>SUBTOTAL(109,R2:R24)</f>
        <v>536332.07692307699</v>
      </c>
      <c r="S25" s="16"/>
      <c r="T25" s="16"/>
      <c r="U25" s="16"/>
      <c r="V25" s="16"/>
      <c r="W25" s="74"/>
      <c r="X25" s="75"/>
      <c r="Y25" s="72">
        <f>SUBTOTAL(109,Y2:Y24)</f>
        <v>498245.86538461532</v>
      </c>
      <c r="Z25" s="75"/>
      <c r="AA25" s="75"/>
      <c r="AB25" s="16">
        <f>SUBTOTAL(109,AB2:AB24)</f>
        <v>563581.07692307699</v>
      </c>
      <c r="AD25" s="8"/>
    </row>
    <row r="26" spans="1:30" x14ac:dyDescent="0.3">
      <c r="A26" s="67">
        <v>25</v>
      </c>
      <c r="B26" s="76"/>
      <c r="C26" s="76"/>
      <c r="D26" s="76"/>
      <c r="E26" s="71"/>
      <c r="F26" s="71" t="s">
        <v>107</v>
      </c>
      <c r="G26" s="80"/>
      <c r="H26" s="71"/>
      <c r="I26" s="67" t="str">
        <f t="shared" si="0"/>
        <v/>
      </c>
      <c r="J26" s="67" t="str">
        <f t="shared" si="1"/>
        <v/>
      </c>
      <c r="K26" s="67"/>
      <c r="L26" s="67"/>
      <c r="M26" s="67"/>
      <c r="N26" s="75"/>
      <c r="O26" s="75"/>
      <c r="P26" s="75"/>
      <c r="Q26" s="75"/>
      <c r="R26" s="75"/>
      <c r="S26" s="75"/>
      <c r="T26" s="75"/>
      <c r="U26" s="75"/>
      <c r="V26" s="75"/>
      <c r="W26" s="80"/>
      <c r="X26" s="75"/>
      <c r="Y26" s="75"/>
      <c r="Z26" s="75"/>
      <c r="AA26" s="75"/>
      <c r="AB26" s="75"/>
    </row>
    <row r="27" spans="1:30" x14ac:dyDescent="0.3">
      <c r="A27" s="67">
        <v>26</v>
      </c>
      <c r="B27" s="76"/>
      <c r="C27" s="76"/>
      <c r="D27" s="76"/>
      <c r="E27" s="71"/>
      <c r="F27" s="71"/>
      <c r="G27" s="80"/>
      <c r="H27" s="71"/>
      <c r="I27" s="67" t="str">
        <f t="shared" si="0"/>
        <v/>
      </c>
      <c r="J27" s="67" t="str">
        <f t="shared" si="1"/>
        <v/>
      </c>
      <c r="K27" s="67"/>
      <c r="L27" s="67"/>
      <c r="M27" s="67"/>
      <c r="N27" s="75"/>
      <c r="O27" s="75"/>
      <c r="P27" s="75"/>
      <c r="Q27" s="75"/>
      <c r="R27" s="75"/>
      <c r="S27" s="75"/>
      <c r="T27" s="75"/>
      <c r="U27" s="75"/>
      <c r="V27" s="75"/>
      <c r="W27" s="80"/>
      <c r="X27" s="75"/>
      <c r="Y27" s="75"/>
      <c r="Z27" s="75"/>
      <c r="AA27" s="75"/>
      <c r="AB27" s="75"/>
    </row>
    <row r="28" spans="1:30" x14ac:dyDescent="0.3">
      <c r="A28" s="67">
        <v>27</v>
      </c>
      <c r="B28" s="76"/>
      <c r="C28" s="76"/>
      <c r="D28" s="76"/>
      <c r="E28" s="71"/>
      <c r="F28" s="71"/>
      <c r="G28" s="80"/>
      <c r="H28" s="71"/>
      <c r="I28" s="67" t="str">
        <f t="shared" si="0"/>
        <v/>
      </c>
      <c r="J28" s="67" t="str">
        <f t="shared" si="1"/>
        <v/>
      </c>
      <c r="K28" s="67"/>
      <c r="L28" s="67"/>
      <c r="M28" s="67"/>
      <c r="N28" s="75"/>
      <c r="O28" s="75"/>
      <c r="P28" s="75"/>
      <c r="Q28" s="75"/>
      <c r="R28" s="75"/>
      <c r="S28" s="75"/>
      <c r="T28" s="75"/>
      <c r="U28" s="75"/>
      <c r="V28" s="75"/>
      <c r="W28" s="80"/>
      <c r="X28" s="75"/>
      <c r="Y28" s="75"/>
      <c r="Z28" s="75"/>
      <c r="AA28" s="75"/>
      <c r="AB28" s="75"/>
    </row>
    <row r="29" spans="1:30" x14ac:dyDescent="0.3">
      <c r="A29" s="67">
        <v>28</v>
      </c>
      <c r="B29" s="76"/>
      <c r="C29" s="76"/>
      <c r="D29" s="76"/>
      <c r="E29" s="71"/>
      <c r="F29" s="71"/>
      <c r="G29" s="80"/>
      <c r="H29" s="71"/>
      <c r="I29" s="67" t="str">
        <f t="shared" si="0"/>
        <v/>
      </c>
      <c r="J29" s="67" t="str">
        <f t="shared" si="1"/>
        <v/>
      </c>
      <c r="K29" s="67"/>
      <c r="L29" s="67"/>
      <c r="M29" s="67"/>
      <c r="N29" s="75"/>
      <c r="O29" s="75"/>
      <c r="P29" s="75"/>
      <c r="Q29" s="75"/>
      <c r="R29" s="75"/>
      <c r="S29" s="75"/>
      <c r="T29" s="75"/>
      <c r="U29" s="75"/>
      <c r="V29" s="75"/>
      <c r="W29" s="80"/>
      <c r="X29" s="75"/>
      <c r="Y29" s="75"/>
      <c r="Z29" s="75"/>
      <c r="AA29" s="75"/>
      <c r="AB29" s="75"/>
    </row>
    <row r="30" spans="1:30" x14ac:dyDescent="0.3">
      <c r="A30" s="67">
        <v>29</v>
      </c>
      <c r="B30" s="76"/>
      <c r="C30" s="76"/>
      <c r="D30" s="76"/>
      <c r="E30" s="71"/>
      <c r="F30" s="71"/>
      <c r="G30" s="80"/>
      <c r="H30" s="71"/>
      <c r="I30" s="67" t="str">
        <f t="shared" si="0"/>
        <v/>
      </c>
      <c r="J30" s="67" t="str">
        <f t="shared" si="1"/>
        <v/>
      </c>
      <c r="K30" s="67"/>
      <c r="L30" s="67"/>
      <c r="M30" s="67"/>
      <c r="N30" s="75"/>
      <c r="O30" s="75"/>
      <c r="P30" s="75"/>
      <c r="Q30" s="75"/>
      <c r="R30" s="75"/>
      <c r="S30" s="75"/>
      <c r="T30" s="75"/>
      <c r="U30" s="75"/>
      <c r="V30" s="75"/>
      <c r="W30" s="80"/>
      <c r="X30" s="75"/>
      <c r="Y30" s="75"/>
      <c r="Z30" s="75"/>
      <c r="AA30" s="75"/>
      <c r="AB30" s="75"/>
    </row>
    <row r="31" spans="1:30" x14ac:dyDescent="0.3">
      <c r="A31" s="67">
        <v>30</v>
      </c>
      <c r="B31" s="76"/>
      <c r="C31" s="76"/>
      <c r="D31" s="76"/>
      <c r="E31" s="71"/>
      <c r="F31" s="71"/>
      <c r="G31" s="80"/>
      <c r="H31" s="71"/>
      <c r="I31" s="67" t="str">
        <f t="shared" si="0"/>
        <v/>
      </c>
      <c r="J31" s="67" t="str">
        <f t="shared" si="1"/>
        <v/>
      </c>
      <c r="K31" s="67"/>
      <c r="L31" s="67"/>
      <c r="M31" s="67"/>
      <c r="N31" s="75"/>
      <c r="O31" s="75"/>
      <c r="P31" s="75"/>
      <c r="Q31" s="75"/>
      <c r="R31" s="75"/>
      <c r="S31" s="75"/>
      <c r="T31" s="75"/>
      <c r="U31" s="75"/>
      <c r="V31" s="75"/>
      <c r="W31" s="80"/>
      <c r="X31" s="75"/>
      <c r="Y31" s="75"/>
      <c r="Z31" s="75"/>
      <c r="AA31" s="75"/>
      <c r="AB31" s="75"/>
    </row>
    <row r="32" spans="1:30" x14ac:dyDescent="0.3">
      <c r="A32" s="67">
        <v>31</v>
      </c>
      <c r="B32" s="76"/>
      <c r="C32" s="76"/>
      <c r="D32" s="76"/>
      <c r="E32" s="71"/>
      <c r="F32" s="71"/>
      <c r="G32" s="80"/>
      <c r="H32" s="71"/>
      <c r="I32" s="67" t="str">
        <f t="shared" si="0"/>
        <v/>
      </c>
      <c r="J32" s="67" t="str">
        <f t="shared" si="1"/>
        <v/>
      </c>
      <c r="K32" s="67"/>
      <c r="L32" s="67"/>
      <c r="M32" s="67"/>
      <c r="N32" s="75"/>
      <c r="O32" s="75"/>
      <c r="P32" s="75"/>
      <c r="Q32" s="75"/>
      <c r="R32" s="75"/>
      <c r="S32" s="75"/>
      <c r="T32" s="75"/>
      <c r="U32" s="75"/>
      <c r="V32" s="75"/>
      <c r="W32" s="80"/>
      <c r="X32" s="75"/>
      <c r="Y32" s="75"/>
      <c r="Z32" s="75"/>
      <c r="AA32" s="75"/>
      <c r="AB32" s="75"/>
    </row>
    <row r="33" spans="1:28" x14ac:dyDescent="0.3">
      <c r="A33" s="67">
        <v>32</v>
      </c>
      <c r="B33" s="76"/>
      <c r="C33" s="76"/>
      <c r="D33" s="76"/>
      <c r="E33" s="71"/>
      <c r="F33" s="71"/>
      <c r="G33" s="80"/>
      <c r="H33" s="71"/>
      <c r="I33" s="67" t="str">
        <f t="shared" si="0"/>
        <v/>
      </c>
      <c r="J33" s="67" t="str">
        <f t="shared" si="1"/>
        <v/>
      </c>
      <c r="K33" s="67"/>
      <c r="L33" s="67"/>
      <c r="M33" s="67"/>
      <c r="N33" s="75"/>
      <c r="O33" s="75"/>
      <c r="P33" s="75"/>
      <c r="Q33" s="75"/>
      <c r="R33" s="75"/>
      <c r="S33" s="75"/>
      <c r="T33" s="75"/>
      <c r="U33" s="75"/>
      <c r="V33" s="75"/>
      <c r="W33" s="80"/>
      <c r="X33" s="75"/>
      <c r="Y33" s="75"/>
      <c r="Z33" s="75"/>
      <c r="AA33" s="75"/>
      <c r="AB33" s="75"/>
    </row>
    <row r="34" spans="1:28" x14ac:dyDescent="0.3">
      <c r="A34" s="67">
        <v>33</v>
      </c>
      <c r="B34" s="76"/>
      <c r="C34" s="76"/>
      <c r="D34" s="76"/>
      <c r="E34" s="71"/>
      <c r="F34" s="71"/>
      <c r="G34" s="80"/>
      <c r="H34" s="71"/>
      <c r="I34" s="67" t="str">
        <f t="shared" si="0"/>
        <v/>
      </c>
      <c r="J34" s="67" t="str">
        <f t="shared" si="1"/>
        <v/>
      </c>
      <c r="K34" s="67"/>
      <c r="L34" s="67"/>
      <c r="M34" s="67"/>
      <c r="N34" s="75"/>
      <c r="O34" s="75"/>
      <c r="P34" s="75"/>
      <c r="Q34" s="75"/>
      <c r="R34" s="75"/>
      <c r="S34" s="75"/>
      <c r="T34" s="75"/>
      <c r="U34" s="75"/>
      <c r="V34" s="75"/>
      <c r="W34" s="80"/>
      <c r="X34" s="75"/>
      <c r="Y34" s="75"/>
      <c r="Z34" s="75"/>
      <c r="AA34" s="75"/>
      <c r="AB34" s="75"/>
    </row>
    <row r="35" spans="1:28" x14ac:dyDescent="0.3">
      <c r="A35" s="67">
        <v>34</v>
      </c>
      <c r="B35" s="76"/>
      <c r="C35" s="76"/>
      <c r="D35" s="76"/>
      <c r="E35" s="71"/>
      <c r="F35" s="71"/>
      <c r="G35" s="80"/>
      <c r="H35" s="71"/>
      <c r="I35" s="67" t="str">
        <f t="shared" si="0"/>
        <v/>
      </c>
      <c r="J35" s="67" t="str">
        <f t="shared" si="1"/>
        <v/>
      </c>
      <c r="K35" s="67"/>
      <c r="L35" s="67"/>
      <c r="M35" s="67"/>
      <c r="N35" s="75"/>
      <c r="O35" s="75"/>
      <c r="P35" s="75"/>
      <c r="Q35" s="75"/>
      <c r="R35" s="75"/>
      <c r="S35" s="75"/>
      <c r="T35" s="75"/>
      <c r="U35" s="75"/>
      <c r="V35" s="75"/>
      <c r="W35" s="80"/>
      <c r="X35" s="75"/>
      <c r="Y35" s="75"/>
      <c r="Z35" s="75"/>
      <c r="AA35" s="75"/>
      <c r="AB35" s="75"/>
    </row>
    <row r="36" spans="1:28" x14ac:dyDescent="0.3">
      <c r="A36" s="67">
        <v>35</v>
      </c>
      <c r="B36" s="76"/>
      <c r="C36" s="76"/>
      <c r="D36" s="76"/>
      <c r="E36" s="71"/>
      <c r="F36" s="71"/>
      <c r="G36" s="80"/>
      <c r="H36" s="71"/>
      <c r="I36" s="67" t="str">
        <f t="shared" si="0"/>
        <v/>
      </c>
      <c r="J36" s="67" t="str">
        <f t="shared" si="1"/>
        <v/>
      </c>
      <c r="K36" s="67"/>
      <c r="L36" s="67"/>
      <c r="M36" s="67"/>
      <c r="N36" s="75"/>
      <c r="O36" s="75"/>
      <c r="P36" s="75"/>
      <c r="Q36" s="75"/>
      <c r="R36" s="75"/>
      <c r="S36" s="75"/>
      <c r="T36" s="75"/>
      <c r="U36" s="75"/>
      <c r="V36" s="75"/>
      <c r="W36" s="80"/>
      <c r="X36" s="75"/>
      <c r="Y36" s="75"/>
      <c r="Z36" s="75"/>
      <c r="AA36" s="75"/>
      <c r="AB36" s="75"/>
    </row>
    <row r="37" spans="1:28" x14ac:dyDescent="0.3">
      <c r="A37" s="67">
        <v>36</v>
      </c>
      <c r="B37" s="76"/>
      <c r="C37" s="76"/>
      <c r="D37" s="76"/>
      <c r="E37" s="71"/>
      <c r="F37" s="71"/>
      <c r="G37" s="80"/>
      <c r="H37" s="71"/>
      <c r="I37" s="67" t="str">
        <f t="shared" si="0"/>
        <v/>
      </c>
      <c r="J37" s="67" t="str">
        <f t="shared" si="1"/>
        <v/>
      </c>
      <c r="K37" s="67"/>
      <c r="L37" s="67"/>
      <c r="M37" s="67"/>
      <c r="N37" s="75"/>
      <c r="O37" s="75"/>
      <c r="P37" s="75"/>
      <c r="Q37" s="75"/>
      <c r="R37" s="75"/>
      <c r="S37" s="75"/>
      <c r="T37" s="75"/>
      <c r="U37" s="75"/>
      <c r="V37" s="75"/>
      <c r="W37" s="80"/>
      <c r="X37" s="75"/>
      <c r="Y37" s="75"/>
      <c r="Z37" s="75"/>
      <c r="AA37" s="75"/>
      <c r="AB37" s="75"/>
    </row>
    <row r="38" spans="1:28" x14ac:dyDescent="0.3">
      <c r="A38" s="67">
        <v>37</v>
      </c>
      <c r="B38" s="76"/>
      <c r="C38" s="76"/>
      <c r="D38" s="76"/>
      <c r="E38" s="71"/>
      <c r="F38" s="71"/>
      <c r="G38" s="80"/>
      <c r="H38" s="71"/>
      <c r="I38" s="67" t="str">
        <f t="shared" si="0"/>
        <v/>
      </c>
      <c r="J38" s="67" t="str">
        <f t="shared" si="1"/>
        <v/>
      </c>
      <c r="K38" s="67"/>
      <c r="L38" s="67"/>
      <c r="M38" s="67"/>
      <c r="N38" s="75"/>
      <c r="O38" s="75"/>
      <c r="P38" s="75"/>
      <c r="Q38" s="75"/>
      <c r="R38" s="75"/>
      <c r="S38" s="75"/>
      <c r="T38" s="75"/>
      <c r="U38" s="75"/>
      <c r="V38" s="75"/>
      <c r="W38" s="80"/>
      <c r="X38" s="75"/>
      <c r="Y38" s="75"/>
      <c r="Z38" s="75"/>
      <c r="AA38" s="75"/>
      <c r="AB38" s="75"/>
    </row>
    <row r="39" spans="1:28" x14ac:dyDescent="0.3">
      <c r="A39" s="67">
        <v>38</v>
      </c>
      <c r="B39" s="76"/>
      <c r="C39" s="76"/>
      <c r="D39" s="76"/>
      <c r="E39" s="71"/>
      <c r="F39" s="71"/>
      <c r="G39" s="80"/>
      <c r="H39" s="71"/>
      <c r="I39" s="67" t="str">
        <f t="shared" si="0"/>
        <v/>
      </c>
      <c r="J39" s="67" t="str">
        <f t="shared" si="1"/>
        <v/>
      </c>
      <c r="K39" s="67"/>
      <c r="L39" s="67"/>
      <c r="M39" s="67"/>
      <c r="N39" s="75"/>
      <c r="O39" s="75"/>
      <c r="P39" s="75"/>
      <c r="Q39" s="75"/>
      <c r="R39" s="75"/>
      <c r="S39" s="75"/>
      <c r="T39" s="75"/>
      <c r="U39" s="75"/>
      <c r="V39" s="75"/>
      <c r="W39" s="80"/>
      <c r="X39" s="75"/>
      <c r="Y39" s="75"/>
      <c r="Z39" s="75"/>
      <c r="AA39" s="75"/>
      <c r="AB39" s="75"/>
    </row>
    <row r="40" spans="1:28" x14ac:dyDescent="0.3">
      <c r="A40" s="67">
        <v>39</v>
      </c>
      <c r="B40" s="76"/>
      <c r="C40" s="76"/>
      <c r="D40" s="76"/>
      <c r="E40" s="71"/>
      <c r="F40" s="71"/>
      <c r="G40" s="80"/>
      <c r="H40" s="71"/>
      <c r="I40" s="67" t="str">
        <f t="shared" si="0"/>
        <v/>
      </c>
      <c r="J40" s="67" t="str">
        <f t="shared" si="1"/>
        <v/>
      </c>
      <c r="K40" s="67"/>
      <c r="L40" s="67"/>
      <c r="M40" s="67"/>
      <c r="N40" s="75"/>
      <c r="O40" s="75"/>
      <c r="P40" s="75"/>
      <c r="Q40" s="75"/>
      <c r="R40" s="75"/>
      <c r="S40" s="75"/>
      <c r="T40" s="75"/>
      <c r="U40" s="75"/>
      <c r="V40" s="75"/>
      <c r="W40" s="80"/>
      <c r="X40" s="75"/>
      <c r="Y40" s="75"/>
      <c r="Z40" s="75"/>
      <c r="AA40" s="75"/>
      <c r="AB40" s="75"/>
    </row>
    <row r="41" spans="1:28" x14ac:dyDescent="0.3">
      <c r="A41" s="67">
        <v>40</v>
      </c>
      <c r="B41" s="76"/>
      <c r="C41" s="76"/>
      <c r="D41" s="76"/>
      <c r="E41" s="71"/>
      <c r="F41" s="71"/>
      <c r="G41" s="80"/>
      <c r="H41" s="71"/>
      <c r="I41" s="67" t="str">
        <f t="shared" si="0"/>
        <v/>
      </c>
      <c r="J41" s="67" t="str">
        <f t="shared" si="1"/>
        <v/>
      </c>
      <c r="K41" s="67"/>
      <c r="L41" s="67"/>
      <c r="M41" s="67"/>
      <c r="N41" s="75"/>
      <c r="O41" s="75"/>
      <c r="P41" s="75"/>
      <c r="Q41" s="75"/>
      <c r="R41" s="75"/>
      <c r="S41" s="75"/>
      <c r="T41" s="75"/>
      <c r="U41" s="75"/>
      <c r="V41" s="75"/>
      <c r="W41" s="80"/>
      <c r="X41" s="75"/>
      <c r="Y41" s="75"/>
      <c r="Z41" s="75"/>
      <c r="AA41" s="75"/>
      <c r="AB41" s="75"/>
    </row>
    <row r="42" spans="1:28" x14ac:dyDescent="0.3">
      <c r="A42" s="67">
        <v>41</v>
      </c>
      <c r="B42" s="76"/>
      <c r="C42" s="76"/>
      <c r="D42" s="76"/>
      <c r="E42" s="71"/>
      <c r="F42" s="71"/>
      <c r="G42" s="80"/>
      <c r="H42" s="71"/>
      <c r="I42" s="67" t="str">
        <f t="shared" si="0"/>
        <v/>
      </c>
      <c r="J42" s="67" t="str">
        <f t="shared" si="1"/>
        <v/>
      </c>
      <c r="K42" s="67"/>
      <c r="L42" s="67"/>
      <c r="M42" s="67"/>
      <c r="N42" s="75"/>
      <c r="O42" s="75"/>
      <c r="P42" s="75"/>
      <c r="Q42" s="75"/>
      <c r="R42" s="75"/>
      <c r="S42" s="75"/>
      <c r="T42" s="75"/>
      <c r="U42" s="75"/>
      <c r="V42" s="75"/>
      <c r="W42" s="80"/>
      <c r="X42" s="75"/>
      <c r="Y42" s="75"/>
      <c r="Z42" s="75"/>
      <c r="AA42" s="75"/>
      <c r="AB42" s="75"/>
    </row>
    <row r="43" spans="1:28" x14ac:dyDescent="0.3">
      <c r="A43" s="67">
        <v>42</v>
      </c>
      <c r="B43" s="76"/>
      <c r="C43" s="76"/>
      <c r="D43" s="76"/>
      <c r="E43" s="71"/>
      <c r="F43" s="71"/>
      <c r="G43" s="80"/>
      <c r="H43" s="71"/>
      <c r="I43" s="67" t="str">
        <f t="shared" si="0"/>
        <v/>
      </c>
      <c r="J43" s="67" t="str">
        <f t="shared" si="1"/>
        <v/>
      </c>
      <c r="K43" s="67"/>
      <c r="L43" s="67"/>
      <c r="M43" s="67"/>
      <c r="N43" s="75"/>
      <c r="O43" s="75"/>
      <c r="P43" s="75"/>
      <c r="Q43" s="75"/>
      <c r="R43" s="75"/>
      <c r="S43" s="75"/>
      <c r="T43" s="75"/>
      <c r="U43" s="75"/>
      <c r="V43" s="75"/>
      <c r="W43" s="80"/>
      <c r="X43" s="75"/>
      <c r="Y43" s="75"/>
      <c r="Z43" s="75"/>
      <c r="AA43" s="75"/>
      <c r="AB43" s="75"/>
    </row>
    <row r="44" spans="1:28" x14ac:dyDescent="0.3">
      <c r="A44" s="67">
        <v>43</v>
      </c>
      <c r="B44" s="76"/>
      <c r="C44" s="76"/>
      <c r="D44" s="76"/>
      <c r="E44" s="71"/>
      <c r="F44" s="71"/>
      <c r="G44" s="80"/>
      <c r="H44" s="71"/>
      <c r="I44" s="67" t="str">
        <f t="shared" si="0"/>
        <v/>
      </c>
      <c r="J44" s="67" t="str">
        <f t="shared" si="1"/>
        <v/>
      </c>
      <c r="K44" s="67"/>
      <c r="L44" s="67"/>
      <c r="M44" s="67"/>
      <c r="N44" s="75"/>
      <c r="O44" s="75"/>
      <c r="P44" s="75"/>
      <c r="Q44" s="75"/>
      <c r="R44" s="75"/>
      <c r="S44" s="75"/>
      <c r="T44" s="75"/>
      <c r="U44" s="75"/>
      <c r="V44" s="75"/>
      <c r="W44" s="80"/>
      <c r="X44" s="75"/>
      <c r="Y44" s="75"/>
      <c r="Z44" s="75"/>
      <c r="AA44" s="75"/>
      <c r="AB44" s="75"/>
    </row>
    <row r="45" spans="1:28" x14ac:dyDescent="0.3">
      <c r="A45" s="67">
        <v>44</v>
      </c>
      <c r="B45" s="76"/>
      <c r="C45" s="76"/>
      <c r="D45" s="76"/>
      <c r="E45" s="71"/>
      <c r="F45" s="71"/>
      <c r="G45" s="80"/>
      <c r="H45" s="71"/>
      <c r="I45" s="67" t="str">
        <f t="shared" si="0"/>
        <v/>
      </c>
      <c r="J45" s="67" t="str">
        <f t="shared" si="1"/>
        <v/>
      </c>
      <c r="K45" s="67"/>
      <c r="L45" s="67"/>
      <c r="M45" s="67"/>
      <c r="N45" s="75"/>
      <c r="O45" s="75"/>
      <c r="P45" s="75"/>
      <c r="Q45" s="75"/>
      <c r="R45" s="75"/>
      <c r="S45" s="75"/>
      <c r="T45" s="75"/>
      <c r="U45" s="75"/>
      <c r="V45" s="75"/>
      <c r="W45" s="80"/>
      <c r="X45" s="75"/>
      <c r="Y45" s="75"/>
      <c r="Z45" s="75"/>
      <c r="AA45" s="75"/>
      <c r="AB45" s="75"/>
    </row>
    <row r="46" spans="1:28" x14ac:dyDescent="0.3">
      <c r="A46" s="67">
        <v>45</v>
      </c>
      <c r="B46" s="76"/>
      <c r="C46" s="76"/>
      <c r="D46" s="76"/>
      <c r="E46" s="71"/>
      <c r="F46" s="71"/>
      <c r="G46" s="80"/>
      <c r="H46" s="71"/>
      <c r="I46" s="67" t="str">
        <f t="shared" si="0"/>
        <v/>
      </c>
      <c r="J46" s="67" t="str">
        <f t="shared" si="1"/>
        <v/>
      </c>
      <c r="K46" s="67"/>
      <c r="L46" s="67"/>
      <c r="M46" s="67"/>
      <c r="N46" s="75"/>
      <c r="O46" s="75"/>
      <c r="P46" s="75"/>
      <c r="Q46" s="75"/>
      <c r="R46" s="75"/>
      <c r="S46" s="75"/>
      <c r="T46" s="75"/>
      <c r="U46" s="75"/>
      <c r="V46" s="75"/>
      <c r="W46" s="80"/>
      <c r="X46" s="75"/>
      <c r="Y46" s="75"/>
      <c r="Z46" s="75"/>
      <c r="AA46" s="75"/>
      <c r="AB46" s="75"/>
    </row>
    <row r="47" spans="1:28" x14ac:dyDescent="0.3">
      <c r="A47" s="67">
        <v>46</v>
      </c>
      <c r="B47" s="76"/>
      <c r="C47" s="76"/>
      <c r="D47" s="76"/>
      <c r="E47" s="71"/>
      <c r="F47" s="71"/>
      <c r="G47" s="80"/>
      <c r="H47" s="71"/>
      <c r="I47" s="67" t="str">
        <f t="shared" si="0"/>
        <v/>
      </c>
      <c r="J47" s="67" t="str">
        <f t="shared" si="1"/>
        <v/>
      </c>
      <c r="K47" s="67"/>
      <c r="L47" s="67"/>
      <c r="M47" s="67"/>
      <c r="N47" s="75"/>
      <c r="O47" s="75"/>
      <c r="P47" s="75"/>
      <c r="Q47" s="75"/>
      <c r="R47" s="75"/>
      <c r="S47" s="75"/>
      <c r="T47" s="75"/>
      <c r="U47" s="75"/>
      <c r="V47" s="75"/>
      <c r="W47" s="80"/>
      <c r="X47" s="75"/>
      <c r="Y47" s="75"/>
      <c r="Z47" s="75"/>
      <c r="AA47" s="75"/>
      <c r="AB47" s="75"/>
    </row>
    <row r="48" spans="1:28" x14ac:dyDescent="0.3">
      <c r="A48" s="67">
        <v>47</v>
      </c>
      <c r="B48" s="76"/>
      <c r="C48" s="76"/>
      <c r="D48" s="76"/>
      <c r="E48" s="71"/>
      <c r="F48" s="71"/>
      <c r="G48" s="80"/>
      <c r="H48" s="71"/>
      <c r="I48" s="67" t="str">
        <f t="shared" si="0"/>
        <v/>
      </c>
      <c r="J48" s="67" t="str">
        <f t="shared" si="1"/>
        <v/>
      </c>
      <c r="K48" s="67"/>
      <c r="L48" s="67"/>
      <c r="M48" s="67"/>
      <c r="N48" s="75"/>
      <c r="O48" s="75"/>
      <c r="P48" s="75"/>
      <c r="Q48" s="75"/>
      <c r="R48" s="75"/>
      <c r="S48" s="75"/>
      <c r="T48" s="75"/>
      <c r="U48" s="75"/>
      <c r="V48" s="75"/>
      <c r="W48" s="80"/>
      <c r="X48" s="75"/>
      <c r="Y48" s="75"/>
      <c r="Z48" s="75"/>
      <c r="AA48" s="75"/>
      <c r="AB48" s="75"/>
    </row>
    <row r="49" spans="1:28" x14ac:dyDescent="0.3">
      <c r="A49" s="67">
        <v>48</v>
      </c>
      <c r="B49" s="76"/>
      <c r="C49" s="76"/>
      <c r="D49" s="76"/>
      <c r="E49" s="71"/>
      <c r="F49" s="71"/>
      <c r="G49" s="80"/>
      <c r="H49" s="71"/>
      <c r="I49" s="67" t="str">
        <f t="shared" si="0"/>
        <v/>
      </c>
      <c r="J49" s="67" t="str">
        <f t="shared" si="1"/>
        <v/>
      </c>
      <c r="K49" s="67"/>
      <c r="L49" s="67"/>
      <c r="M49" s="67"/>
      <c r="N49" s="75"/>
      <c r="O49" s="75"/>
      <c r="P49" s="75"/>
      <c r="Q49" s="75"/>
      <c r="R49" s="75"/>
      <c r="S49" s="75"/>
      <c r="T49" s="75"/>
      <c r="U49" s="75"/>
      <c r="V49" s="75"/>
      <c r="W49" s="80"/>
      <c r="X49" s="75"/>
      <c r="Y49" s="75"/>
      <c r="Z49" s="75"/>
      <c r="AA49" s="75"/>
      <c r="AB49" s="75"/>
    </row>
    <row r="50" spans="1:28" x14ac:dyDescent="0.3">
      <c r="A50" s="67">
        <v>49</v>
      </c>
      <c r="B50" s="76"/>
      <c r="C50" s="76"/>
      <c r="D50" s="76"/>
      <c r="E50" s="71"/>
      <c r="F50" s="71"/>
      <c r="G50" s="80"/>
      <c r="H50" s="71"/>
      <c r="I50" s="67" t="str">
        <f t="shared" si="0"/>
        <v/>
      </c>
      <c r="J50" s="67" t="str">
        <f t="shared" si="1"/>
        <v/>
      </c>
      <c r="K50" s="67"/>
      <c r="L50" s="67"/>
      <c r="M50" s="67"/>
      <c r="N50" s="75"/>
      <c r="O50" s="75"/>
      <c r="P50" s="75"/>
      <c r="Q50" s="75"/>
      <c r="R50" s="75"/>
      <c r="S50" s="75"/>
      <c r="T50" s="75"/>
      <c r="U50" s="75"/>
      <c r="V50" s="75"/>
      <c r="W50" s="80"/>
      <c r="X50" s="75"/>
      <c r="Y50" s="75"/>
      <c r="Z50" s="75"/>
      <c r="AA50" s="75"/>
      <c r="AB50" s="75"/>
    </row>
    <row r="51" spans="1:28" x14ac:dyDescent="0.3">
      <c r="A51" s="67">
        <v>50</v>
      </c>
      <c r="B51" s="76"/>
      <c r="C51" s="76"/>
      <c r="D51" s="76"/>
      <c r="E51" s="71"/>
      <c r="F51" s="71"/>
      <c r="G51" s="80"/>
      <c r="H51" s="71"/>
      <c r="I51" s="67" t="str">
        <f t="shared" si="0"/>
        <v/>
      </c>
      <c r="J51" s="67" t="str">
        <f t="shared" si="1"/>
        <v/>
      </c>
      <c r="K51" s="67"/>
      <c r="L51" s="67"/>
      <c r="M51" s="67"/>
      <c r="N51" s="75"/>
      <c r="O51" s="75"/>
      <c r="P51" s="75"/>
      <c r="Q51" s="75"/>
      <c r="R51" s="75"/>
      <c r="S51" s="75"/>
      <c r="T51" s="75"/>
      <c r="U51" s="75"/>
      <c r="V51" s="75"/>
      <c r="W51" s="80"/>
      <c r="X51" s="75"/>
      <c r="Y51" s="75"/>
      <c r="Z51" s="75"/>
      <c r="AA51" s="75"/>
      <c r="AB51" s="75"/>
    </row>
    <row r="52" spans="1:28" x14ac:dyDescent="0.3">
      <c r="A52" s="67">
        <v>51</v>
      </c>
      <c r="B52" s="76"/>
      <c r="C52" s="76"/>
      <c r="D52" s="76"/>
      <c r="E52" s="71"/>
      <c r="F52" s="71"/>
      <c r="G52" s="80"/>
      <c r="H52" s="71"/>
      <c r="I52" s="67" t="str">
        <f t="shared" si="0"/>
        <v/>
      </c>
      <c r="J52" s="67" t="str">
        <f t="shared" si="1"/>
        <v/>
      </c>
      <c r="K52" s="67"/>
      <c r="L52" s="67"/>
      <c r="M52" s="67"/>
      <c r="N52" s="75"/>
      <c r="O52" s="75"/>
      <c r="P52" s="75"/>
      <c r="Q52" s="75"/>
      <c r="R52" s="75"/>
      <c r="S52" s="75"/>
      <c r="T52" s="75"/>
      <c r="U52" s="75"/>
      <c r="V52" s="75"/>
      <c r="W52" s="80"/>
      <c r="X52" s="75"/>
      <c r="Y52" s="75"/>
      <c r="Z52" s="75"/>
      <c r="AA52" s="75"/>
      <c r="AB52" s="75"/>
    </row>
    <row r="53" spans="1:28" x14ac:dyDescent="0.3">
      <c r="A53" s="67">
        <v>52</v>
      </c>
      <c r="B53" s="76"/>
      <c r="C53" s="76"/>
      <c r="D53" s="76"/>
      <c r="E53" s="71"/>
      <c r="F53" s="71"/>
      <c r="G53" s="80"/>
      <c r="H53" s="71"/>
      <c r="I53" s="67" t="str">
        <f t="shared" si="0"/>
        <v/>
      </c>
      <c r="J53" s="67" t="str">
        <f t="shared" si="1"/>
        <v/>
      </c>
      <c r="K53" s="67"/>
      <c r="L53" s="67"/>
      <c r="M53" s="67"/>
      <c r="N53" s="75"/>
      <c r="O53" s="75"/>
      <c r="P53" s="75"/>
      <c r="Q53" s="75"/>
      <c r="R53" s="75"/>
      <c r="S53" s="75"/>
      <c r="T53" s="75"/>
      <c r="U53" s="75"/>
      <c r="V53" s="75"/>
      <c r="W53" s="80"/>
      <c r="X53" s="75"/>
      <c r="Y53" s="75"/>
      <c r="Z53" s="75"/>
      <c r="AA53" s="75"/>
      <c r="AB53" s="75"/>
    </row>
    <row r="54" spans="1:28" x14ac:dyDescent="0.3">
      <c r="A54" s="67">
        <v>53</v>
      </c>
      <c r="B54" s="76"/>
      <c r="C54" s="76"/>
      <c r="D54" s="76"/>
      <c r="E54" s="71"/>
      <c r="F54" s="71"/>
      <c r="G54" s="80"/>
      <c r="H54" s="71"/>
      <c r="I54" s="67" t="str">
        <f t="shared" si="0"/>
        <v/>
      </c>
      <c r="J54" s="67" t="str">
        <f t="shared" si="1"/>
        <v/>
      </c>
      <c r="K54" s="67"/>
      <c r="L54" s="67"/>
      <c r="M54" s="67"/>
      <c r="N54" s="75"/>
      <c r="O54" s="75"/>
      <c r="P54" s="75"/>
      <c r="Q54" s="75"/>
      <c r="R54" s="75"/>
      <c r="S54" s="75"/>
      <c r="T54" s="75"/>
      <c r="U54" s="75"/>
      <c r="V54" s="75"/>
      <c r="W54" s="80"/>
      <c r="X54" s="75"/>
      <c r="Y54" s="75"/>
      <c r="Z54" s="75"/>
      <c r="AA54" s="75"/>
      <c r="AB54" s="75"/>
    </row>
    <row r="55" spans="1:28" x14ac:dyDescent="0.3">
      <c r="A55" s="67">
        <v>54</v>
      </c>
      <c r="B55" s="76"/>
      <c r="C55" s="76"/>
      <c r="D55" s="76"/>
      <c r="E55" s="71"/>
      <c r="F55" s="71"/>
      <c r="G55" s="80"/>
      <c r="H55" s="71"/>
      <c r="I55" s="67" t="str">
        <f t="shared" si="0"/>
        <v/>
      </c>
      <c r="J55" s="67" t="str">
        <f t="shared" si="1"/>
        <v/>
      </c>
      <c r="K55" s="67"/>
      <c r="L55" s="67"/>
      <c r="M55" s="67"/>
      <c r="N55" s="75"/>
      <c r="O55" s="75"/>
      <c r="P55" s="75"/>
      <c r="Q55" s="75"/>
      <c r="R55" s="75"/>
      <c r="S55" s="75"/>
      <c r="T55" s="75"/>
      <c r="U55" s="75"/>
      <c r="V55" s="75"/>
      <c r="W55" s="80"/>
      <c r="X55" s="75"/>
      <c r="Y55" s="75"/>
      <c r="Z55" s="75"/>
      <c r="AA55" s="75"/>
      <c r="AB55" s="75"/>
    </row>
    <row r="56" spans="1:28" x14ac:dyDescent="0.3">
      <c r="A56" s="67">
        <v>55</v>
      </c>
      <c r="B56" s="76"/>
      <c r="C56" s="76"/>
      <c r="D56" s="76"/>
      <c r="E56" s="71"/>
      <c r="F56" s="71"/>
      <c r="G56" s="80"/>
      <c r="H56" s="71"/>
      <c r="I56" s="67" t="str">
        <f t="shared" si="0"/>
        <v/>
      </c>
      <c r="J56" s="67" t="str">
        <f t="shared" si="1"/>
        <v/>
      </c>
      <c r="K56" s="67"/>
      <c r="L56" s="67"/>
      <c r="M56" s="67"/>
      <c r="N56" s="75"/>
      <c r="O56" s="75"/>
      <c r="P56" s="75"/>
      <c r="Q56" s="75"/>
      <c r="R56" s="75"/>
      <c r="S56" s="75"/>
      <c r="T56" s="75"/>
      <c r="U56" s="75"/>
      <c r="V56" s="75"/>
      <c r="W56" s="80"/>
      <c r="X56" s="75"/>
      <c r="Y56" s="75"/>
      <c r="Z56" s="75"/>
      <c r="AA56" s="75"/>
      <c r="AB56" s="75"/>
    </row>
    <row r="57" spans="1:28" x14ac:dyDescent="0.3">
      <c r="A57" s="67">
        <v>56</v>
      </c>
      <c r="B57" s="76"/>
      <c r="C57" s="76"/>
      <c r="D57" s="76"/>
      <c r="E57" s="71"/>
      <c r="F57" s="71"/>
      <c r="G57" s="80"/>
      <c r="H57" s="71"/>
      <c r="I57" s="67" t="str">
        <f t="shared" si="0"/>
        <v/>
      </c>
      <c r="J57" s="67" t="str">
        <f t="shared" si="1"/>
        <v/>
      </c>
      <c r="K57" s="67"/>
      <c r="L57" s="67"/>
      <c r="M57" s="67"/>
      <c r="N57" s="75"/>
      <c r="O57" s="75"/>
      <c r="P57" s="75"/>
      <c r="Q57" s="75"/>
      <c r="R57" s="75"/>
      <c r="S57" s="75"/>
      <c r="T57" s="75"/>
      <c r="U57" s="75"/>
      <c r="V57" s="75"/>
      <c r="W57" s="80"/>
      <c r="X57" s="75"/>
      <c r="Y57" s="75"/>
      <c r="Z57" s="75"/>
      <c r="AA57" s="75"/>
      <c r="AB57" s="75"/>
    </row>
    <row r="58" spans="1:28" x14ac:dyDescent="0.3">
      <c r="A58" s="67">
        <v>57</v>
      </c>
      <c r="B58" s="76"/>
      <c r="C58" s="76"/>
      <c r="D58" s="76"/>
      <c r="E58" s="71"/>
      <c r="F58" s="71"/>
      <c r="G58" s="80"/>
      <c r="H58" s="71"/>
      <c r="I58" s="67" t="str">
        <f t="shared" si="0"/>
        <v/>
      </c>
      <c r="J58" s="67" t="str">
        <f t="shared" si="1"/>
        <v/>
      </c>
      <c r="K58" s="67"/>
      <c r="L58" s="67"/>
      <c r="M58" s="67"/>
      <c r="N58" s="75"/>
      <c r="O58" s="75"/>
      <c r="P58" s="75"/>
      <c r="Q58" s="75"/>
      <c r="R58" s="75"/>
      <c r="S58" s="75"/>
      <c r="T58" s="75"/>
      <c r="U58" s="75"/>
      <c r="V58" s="75"/>
      <c r="W58" s="80"/>
      <c r="X58" s="75"/>
      <c r="Y58" s="75"/>
      <c r="Z58" s="75"/>
      <c r="AA58" s="75"/>
      <c r="AB58" s="75"/>
    </row>
    <row r="59" spans="1:28" x14ac:dyDescent="0.3">
      <c r="A59" s="67">
        <v>58</v>
      </c>
      <c r="B59" s="76"/>
      <c r="C59" s="76"/>
      <c r="D59" s="76"/>
      <c r="E59" s="71"/>
      <c r="F59" s="71"/>
      <c r="G59" s="80"/>
      <c r="H59" s="71"/>
      <c r="I59" s="67" t="str">
        <f t="shared" si="0"/>
        <v/>
      </c>
      <c r="J59" s="67" t="str">
        <f t="shared" si="1"/>
        <v/>
      </c>
      <c r="K59" s="67"/>
      <c r="L59" s="67"/>
      <c r="M59" s="67"/>
      <c r="N59" s="75"/>
      <c r="O59" s="75"/>
      <c r="P59" s="75"/>
      <c r="Q59" s="75"/>
      <c r="R59" s="75"/>
      <c r="S59" s="75"/>
      <c r="T59" s="75"/>
      <c r="U59" s="75"/>
      <c r="V59" s="75"/>
      <c r="W59" s="80"/>
      <c r="X59" s="75"/>
      <c r="Y59" s="75"/>
      <c r="Z59" s="75"/>
      <c r="AA59" s="75"/>
      <c r="AB59" s="75"/>
    </row>
    <row r="60" spans="1:28" x14ac:dyDescent="0.3">
      <c r="A60" s="67">
        <v>59</v>
      </c>
      <c r="B60" s="76"/>
      <c r="C60" s="76"/>
      <c r="D60" s="76"/>
      <c r="E60" s="71"/>
      <c r="F60" s="71"/>
      <c r="G60" s="80"/>
      <c r="H60" s="71"/>
      <c r="I60" s="67" t="str">
        <f t="shared" si="0"/>
        <v/>
      </c>
      <c r="J60" s="67" t="str">
        <f t="shared" si="1"/>
        <v/>
      </c>
      <c r="K60" s="67"/>
      <c r="L60" s="67"/>
      <c r="M60" s="67"/>
      <c r="N60" s="75"/>
      <c r="O60" s="75"/>
      <c r="P60" s="75"/>
      <c r="Q60" s="75"/>
      <c r="R60" s="75"/>
      <c r="S60" s="75"/>
      <c r="T60" s="75"/>
      <c r="U60" s="75"/>
      <c r="V60" s="75"/>
      <c r="W60" s="80"/>
      <c r="X60" s="75"/>
      <c r="Y60" s="75"/>
      <c r="Z60" s="75"/>
      <c r="AA60" s="75"/>
      <c r="AB60" s="75"/>
    </row>
    <row r="61" spans="1:28" x14ac:dyDescent="0.3">
      <c r="A61" s="67">
        <v>60</v>
      </c>
      <c r="B61" s="76"/>
      <c r="C61" s="76"/>
      <c r="D61" s="76"/>
      <c r="E61" s="71"/>
      <c r="F61" s="71"/>
      <c r="G61" s="80"/>
      <c r="H61" s="71"/>
      <c r="I61" s="67" t="str">
        <f t="shared" si="0"/>
        <v/>
      </c>
      <c r="J61" s="67" t="str">
        <f t="shared" si="1"/>
        <v/>
      </c>
      <c r="K61" s="67"/>
      <c r="L61" s="67"/>
      <c r="M61" s="67"/>
      <c r="N61" s="75"/>
      <c r="O61" s="75"/>
      <c r="P61" s="75"/>
      <c r="Q61" s="75"/>
      <c r="R61" s="75"/>
      <c r="S61" s="75"/>
      <c r="T61" s="75"/>
      <c r="U61" s="75"/>
      <c r="V61" s="75"/>
      <c r="W61" s="80"/>
      <c r="X61" s="75"/>
      <c r="Y61" s="75"/>
      <c r="Z61" s="75"/>
      <c r="AA61" s="75"/>
      <c r="AB61" s="75"/>
    </row>
    <row r="62" spans="1:28" x14ac:dyDescent="0.3">
      <c r="A62" s="67">
        <v>61</v>
      </c>
      <c r="B62" s="76"/>
      <c r="C62" s="76"/>
      <c r="D62" s="76"/>
      <c r="E62" s="71"/>
      <c r="F62" s="71"/>
      <c r="G62" s="80"/>
      <c r="H62" s="71"/>
      <c r="I62" s="67" t="str">
        <f t="shared" si="0"/>
        <v/>
      </c>
      <c r="J62" s="67" t="str">
        <f t="shared" si="1"/>
        <v/>
      </c>
      <c r="K62" s="67"/>
      <c r="L62" s="67"/>
      <c r="M62" s="67"/>
      <c r="N62" s="75"/>
      <c r="O62" s="75"/>
      <c r="P62" s="75"/>
      <c r="Q62" s="75"/>
      <c r="R62" s="75"/>
      <c r="S62" s="75"/>
      <c r="T62" s="75"/>
      <c r="U62" s="75"/>
      <c r="V62" s="75"/>
      <c r="W62" s="80"/>
      <c r="X62" s="75"/>
      <c r="Y62" s="75"/>
      <c r="Z62" s="75"/>
      <c r="AA62" s="75"/>
      <c r="AB62" s="75"/>
    </row>
    <row r="63" spans="1:28" x14ac:dyDescent="0.3">
      <c r="A63" s="67">
        <v>62</v>
      </c>
      <c r="B63" s="76"/>
      <c r="C63" s="76"/>
      <c r="D63" s="76"/>
      <c r="E63" s="71"/>
      <c r="F63" s="71"/>
      <c r="G63" s="80"/>
      <c r="H63" s="71"/>
      <c r="I63" s="67" t="str">
        <f t="shared" si="0"/>
        <v/>
      </c>
      <c r="J63" s="67" t="str">
        <f t="shared" si="1"/>
        <v/>
      </c>
      <c r="K63" s="67"/>
      <c r="L63" s="67"/>
      <c r="M63" s="67"/>
      <c r="N63" s="75"/>
      <c r="O63" s="75"/>
      <c r="P63" s="75"/>
      <c r="Q63" s="75"/>
      <c r="R63" s="75"/>
      <c r="S63" s="75"/>
      <c r="T63" s="75"/>
      <c r="U63" s="75"/>
      <c r="V63" s="75"/>
      <c r="W63" s="80"/>
      <c r="X63" s="75"/>
      <c r="Y63" s="75"/>
      <c r="Z63" s="75"/>
      <c r="AA63" s="75"/>
      <c r="AB63" s="75"/>
    </row>
    <row r="64" spans="1:28" x14ac:dyDescent="0.3">
      <c r="A64" s="67">
        <v>63</v>
      </c>
      <c r="B64" s="76"/>
      <c r="C64" s="76"/>
      <c r="D64" s="76"/>
      <c r="E64" s="71"/>
      <c r="F64" s="71"/>
      <c r="G64" s="80"/>
      <c r="H64" s="71"/>
      <c r="I64" s="67" t="str">
        <f t="shared" si="0"/>
        <v/>
      </c>
      <c r="J64" s="67" t="str">
        <f t="shared" si="1"/>
        <v/>
      </c>
      <c r="K64" s="67"/>
      <c r="L64" s="67"/>
      <c r="M64" s="67"/>
      <c r="N64" s="75"/>
      <c r="O64" s="75"/>
      <c r="P64" s="75"/>
      <c r="Q64" s="75"/>
      <c r="R64" s="75"/>
      <c r="S64" s="75"/>
      <c r="T64" s="75"/>
      <c r="U64" s="75"/>
      <c r="V64" s="75"/>
      <c r="W64" s="80"/>
      <c r="X64" s="75"/>
      <c r="Y64" s="75"/>
      <c r="Z64" s="75"/>
      <c r="AA64" s="75"/>
      <c r="AB64" s="75"/>
    </row>
    <row r="65" spans="1:28" x14ac:dyDescent="0.3">
      <c r="A65" s="67">
        <v>64</v>
      </c>
      <c r="B65" s="76"/>
      <c r="C65" s="76"/>
      <c r="D65" s="76"/>
      <c r="E65" s="71"/>
      <c r="F65" s="71"/>
      <c r="G65" s="80"/>
      <c r="H65" s="71"/>
      <c r="I65" s="67" t="str">
        <f t="shared" si="0"/>
        <v/>
      </c>
      <c r="J65" s="67" t="str">
        <f t="shared" si="1"/>
        <v/>
      </c>
      <c r="K65" s="67"/>
      <c r="L65" s="67"/>
      <c r="M65" s="67"/>
      <c r="N65" s="75"/>
      <c r="O65" s="75"/>
      <c r="P65" s="75"/>
      <c r="Q65" s="75"/>
      <c r="R65" s="75"/>
      <c r="S65" s="75"/>
      <c r="T65" s="75"/>
      <c r="U65" s="75"/>
      <c r="V65" s="75"/>
      <c r="W65" s="80"/>
      <c r="X65" s="75"/>
      <c r="Y65" s="75"/>
      <c r="Z65" s="75"/>
      <c r="AA65" s="75"/>
      <c r="AB65" s="75"/>
    </row>
    <row r="66" spans="1:28" x14ac:dyDescent="0.3">
      <c r="A66" s="67">
        <v>65</v>
      </c>
      <c r="B66" s="76"/>
      <c r="C66" s="76"/>
      <c r="D66" s="76"/>
      <c r="E66" s="71"/>
      <c r="F66" s="71"/>
      <c r="G66" s="80"/>
      <c r="H66" s="71"/>
      <c r="I66" s="67" t="str">
        <f t="shared" ref="I66:I129" si="9">IF($H66="","",IF(UPPER(TRIM($H66))="YES","YES",IF($N66&gt;=BASIC_CAP,"NO","YES")))</f>
        <v/>
      </c>
      <c r="J66" s="67" t="str">
        <f t="shared" ref="J66:J129" si="10">IF($G66="","",IF($G66&lt;=ESIC_LIMIT,"YES","NO"))</f>
        <v/>
      </c>
      <c r="K66" s="67"/>
      <c r="L66" s="67"/>
      <c r="M66" s="67"/>
      <c r="N66" s="75"/>
      <c r="O66" s="75"/>
      <c r="P66" s="75"/>
      <c r="Q66" s="75"/>
      <c r="R66" s="75"/>
      <c r="S66" s="75"/>
      <c r="T66" s="75"/>
      <c r="U66" s="75"/>
      <c r="V66" s="75"/>
      <c r="W66" s="80"/>
      <c r="X66" s="75"/>
      <c r="Y66" s="75"/>
      <c r="Z66" s="75"/>
      <c r="AA66" s="75"/>
      <c r="AB66" s="75"/>
    </row>
    <row r="67" spans="1:28" x14ac:dyDescent="0.3">
      <c r="A67" s="67">
        <v>66</v>
      </c>
      <c r="B67" s="76"/>
      <c r="C67" s="76"/>
      <c r="D67" s="76"/>
      <c r="E67" s="71"/>
      <c r="F67" s="71"/>
      <c r="G67" s="80"/>
      <c r="H67" s="71"/>
      <c r="I67" s="67" t="str">
        <f t="shared" si="9"/>
        <v/>
      </c>
      <c r="J67" s="67" t="str">
        <f t="shared" si="10"/>
        <v/>
      </c>
      <c r="K67" s="67"/>
      <c r="L67" s="67"/>
      <c r="M67" s="67"/>
      <c r="N67" s="75"/>
      <c r="O67" s="75"/>
      <c r="P67" s="75"/>
      <c r="Q67" s="75"/>
      <c r="R67" s="75"/>
      <c r="S67" s="75"/>
      <c r="T67" s="75"/>
      <c r="U67" s="75"/>
      <c r="V67" s="75"/>
      <c r="W67" s="80"/>
      <c r="X67" s="75"/>
      <c r="Y67" s="75"/>
      <c r="Z67" s="75"/>
      <c r="AA67" s="75"/>
      <c r="AB67" s="75"/>
    </row>
    <row r="68" spans="1:28" x14ac:dyDescent="0.3">
      <c r="A68" s="67">
        <v>67</v>
      </c>
      <c r="B68" s="76"/>
      <c r="C68" s="76"/>
      <c r="D68" s="76"/>
      <c r="E68" s="71"/>
      <c r="F68" s="71"/>
      <c r="G68" s="80"/>
      <c r="H68" s="71"/>
      <c r="I68" s="67" t="str">
        <f t="shared" si="9"/>
        <v/>
      </c>
      <c r="J68" s="67" t="str">
        <f t="shared" si="10"/>
        <v/>
      </c>
      <c r="K68" s="67"/>
      <c r="L68" s="67"/>
      <c r="M68" s="67"/>
      <c r="N68" s="75"/>
      <c r="O68" s="75"/>
      <c r="P68" s="75"/>
      <c r="Q68" s="75"/>
      <c r="R68" s="75"/>
      <c r="S68" s="75"/>
      <c r="T68" s="75"/>
      <c r="U68" s="75"/>
      <c r="V68" s="75"/>
      <c r="W68" s="80"/>
      <c r="X68" s="75"/>
      <c r="Y68" s="75"/>
      <c r="Z68" s="75"/>
      <c r="AA68" s="75"/>
      <c r="AB68" s="75"/>
    </row>
    <row r="69" spans="1:28" x14ac:dyDescent="0.3">
      <c r="A69" s="67">
        <v>68</v>
      </c>
      <c r="B69" s="76"/>
      <c r="C69" s="76"/>
      <c r="D69" s="76"/>
      <c r="E69" s="71"/>
      <c r="F69" s="71"/>
      <c r="G69" s="80"/>
      <c r="H69" s="71"/>
      <c r="I69" s="67" t="str">
        <f t="shared" si="9"/>
        <v/>
      </c>
      <c r="J69" s="67" t="str">
        <f t="shared" si="10"/>
        <v/>
      </c>
      <c r="K69" s="67"/>
      <c r="L69" s="67"/>
      <c r="M69" s="67"/>
      <c r="N69" s="75"/>
      <c r="O69" s="75"/>
      <c r="P69" s="75"/>
      <c r="Q69" s="75"/>
      <c r="R69" s="75"/>
      <c r="S69" s="75"/>
      <c r="T69" s="75"/>
      <c r="U69" s="75"/>
      <c r="V69" s="75"/>
      <c r="W69" s="80"/>
      <c r="X69" s="75"/>
      <c r="Y69" s="75"/>
      <c r="Z69" s="75"/>
      <c r="AA69" s="75"/>
      <c r="AB69" s="75"/>
    </row>
    <row r="70" spans="1:28" x14ac:dyDescent="0.3">
      <c r="A70" s="67">
        <v>69</v>
      </c>
      <c r="B70" s="76"/>
      <c r="C70" s="76"/>
      <c r="D70" s="76"/>
      <c r="E70" s="71"/>
      <c r="F70" s="71"/>
      <c r="G70" s="80"/>
      <c r="H70" s="71"/>
      <c r="I70" s="67" t="str">
        <f t="shared" si="9"/>
        <v/>
      </c>
      <c r="J70" s="67" t="str">
        <f t="shared" si="10"/>
        <v/>
      </c>
      <c r="K70" s="67"/>
      <c r="L70" s="67"/>
      <c r="M70" s="67"/>
      <c r="N70" s="75"/>
      <c r="O70" s="75"/>
      <c r="P70" s="75"/>
      <c r="Q70" s="75"/>
      <c r="R70" s="75"/>
      <c r="S70" s="75"/>
      <c r="T70" s="75"/>
      <c r="U70" s="75"/>
      <c r="V70" s="75"/>
      <c r="W70" s="80"/>
      <c r="X70" s="75"/>
      <c r="Y70" s="75"/>
      <c r="Z70" s="75"/>
      <c r="AA70" s="75"/>
      <c r="AB70" s="75"/>
    </row>
    <row r="71" spans="1:28" x14ac:dyDescent="0.3">
      <c r="A71" s="67">
        <v>70</v>
      </c>
      <c r="B71" s="76"/>
      <c r="C71" s="76"/>
      <c r="D71" s="76"/>
      <c r="E71" s="71"/>
      <c r="F71" s="71"/>
      <c r="G71" s="80"/>
      <c r="H71" s="71"/>
      <c r="I71" s="67" t="str">
        <f t="shared" si="9"/>
        <v/>
      </c>
      <c r="J71" s="67" t="str">
        <f t="shared" si="10"/>
        <v/>
      </c>
      <c r="K71" s="67"/>
      <c r="L71" s="67"/>
      <c r="M71" s="67"/>
      <c r="N71" s="75"/>
      <c r="O71" s="75"/>
      <c r="P71" s="75"/>
      <c r="Q71" s="75"/>
      <c r="R71" s="75"/>
      <c r="S71" s="75"/>
      <c r="T71" s="75"/>
      <c r="U71" s="75"/>
      <c r="V71" s="75"/>
      <c r="W71" s="80"/>
      <c r="X71" s="75"/>
      <c r="Y71" s="75"/>
      <c r="Z71" s="75"/>
      <c r="AA71" s="75"/>
      <c r="AB71" s="75"/>
    </row>
    <row r="72" spans="1:28" x14ac:dyDescent="0.3">
      <c r="A72" s="67">
        <v>71</v>
      </c>
      <c r="B72" s="76"/>
      <c r="C72" s="76"/>
      <c r="D72" s="76"/>
      <c r="E72" s="71"/>
      <c r="F72" s="71"/>
      <c r="G72" s="80"/>
      <c r="H72" s="71"/>
      <c r="I72" s="67" t="str">
        <f t="shared" si="9"/>
        <v/>
      </c>
      <c r="J72" s="67" t="str">
        <f t="shared" si="10"/>
        <v/>
      </c>
      <c r="K72" s="67"/>
      <c r="L72" s="67"/>
      <c r="M72" s="67"/>
      <c r="N72" s="75"/>
      <c r="O72" s="75"/>
      <c r="P72" s="75"/>
      <c r="Q72" s="75"/>
      <c r="R72" s="75"/>
      <c r="S72" s="75"/>
      <c r="T72" s="75"/>
      <c r="U72" s="75"/>
      <c r="V72" s="75"/>
      <c r="W72" s="80"/>
      <c r="X72" s="75"/>
      <c r="Y72" s="75"/>
      <c r="Z72" s="75"/>
      <c r="AA72" s="75"/>
      <c r="AB72" s="75"/>
    </row>
    <row r="73" spans="1:28" x14ac:dyDescent="0.3">
      <c r="A73" s="67">
        <v>72</v>
      </c>
      <c r="B73" s="76"/>
      <c r="C73" s="76"/>
      <c r="D73" s="76"/>
      <c r="E73" s="71"/>
      <c r="F73" s="71"/>
      <c r="G73" s="80"/>
      <c r="H73" s="71"/>
      <c r="I73" s="67" t="str">
        <f t="shared" si="9"/>
        <v/>
      </c>
      <c r="J73" s="67" t="str">
        <f t="shared" si="10"/>
        <v/>
      </c>
      <c r="K73" s="67"/>
      <c r="L73" s="67"/>
      <c r="M73" s="67"/>
      <c r="N73" s="75"/>
      <c r="O73" s="75"/>
      <c r="P73" s="75"/>
      <c r="Q73" s="75"/>
      <c r="R73" s="75"/>
      <c r="S73" s="75"/>
      <c r="T73" s="75"/>
      <c r="U73" s="75"/>
      <c r="V73" s="75"/>
      <c r="W73" s="80"/>
      <c r="X73" s="75"/>
      <c r="Y73" s="75"/>
      <c r="Z73" s="75"/>
      <c r="AA73" s="75"/>
      <c r="AB73" s="75"/>
    </row>
    <row r="74" spans="1:28" x14ac:dyDescent="0.3">
      <c r="A74" s="67">
        <v>73</v>
      </c>
      <c r="B74" s="76"/>
      <c r="C74" s="76"/>
      <c r="D74" s="76"/>
      <c r="E74" s="71"/>
      <c r="F74" s="71"/>
      <c r="G74" s="80"/>
      <c r="H74" s="71"/>
      <c r="I74" s="67" t="str">
        <f t="shared" si="9"/>
        <v/>
      </c>
      <c r="J74" s="67" t="str">
        <f t="shared" si="10"/>
        <v/>
      </c>
      <c r="K74" s="67"/>
      <c r="L74" s="67"/>
      <c r="M74" s="67"/>
      <c r="N74" s="75"/>
      <c r="O74" s="75"/>
      <c r="P74" s="75"/>
      <c r="Q74" s="75"/>
      <c r="R74" s="75"/>
      <c r="S74" s="75"/>
      <c r="T74" s="75"/>
      <c r="U74" s="75"/>
      <c r="V74" s="75"/>
      <c r="W74" s="80"/>
      <c r="X74" s="75"/>
      <c r="Y74" s="75"/>
      <c r="Z74" s="75"/>
      <c r="AA74" s="75"/>
      <c r="AB74" s="75"/>
    </row>
    <row r="75" spans="1:28" x14ac:dyDescent="0.3">
      <c r="A75" s="67">
        <v>74</v>
      </c>
      <c r="B75" s="76"/>
      <c r="C75" s="76"/>
      <c r="D75" s="76"/>
      <c r="E75" s="71"/>
      <c r="F75" s="71"/>
      <c r="G75" s="80"/>
      <c r="H75" s="71"/>
      <c r="I75" s="67" t="str">
        <f t="shared" si="9"/>
        <v/>
      </c>
      <c r="J75" s="67" t="str">
        <f t="shared" si="10"/>
        <v/>
      </c>
      <c r="K75" s="67"/>
      <c r="L75" s="67"/>
      <c r="M75" s="67"/>
      <c r="N75" s="75"/>
      <c r="O75" s="75"/>
      <c r="P75" s="75"/>
      <c r="Q75" s="75"/>
      <c r="R75" s="75"/>
      <c r="S75" s="75"/>
      <c r="T75" s="75"/>
      <c r="U75" s="75"/>
      <c r="V75" s="75"/>
      <c r="W75" s="80"/>
      <c r="X75" s="75"/>
      <c r="Y75" s="75"/>
      <c r="Z75" s="75"/>
      <c r="AA75" s="75"/>
      <c r="AB75" s="75"/>
    </row>
    <row r="76" spans="1:28" x14ac:dyDescent="0.3">
      <c r="A76" s="67">
        <v>75</v>
      </c>
      <c r="B76" s="76"/>
      <c r="C76" s="76"/>
      <c r="D76" s="76"/>
      <c r="E76" s="71"/>
      <c r="F76" s="71"/>
      <c r="G76" s="80"/>
      <c r="H76" s="71"/>
      <c r="I76" s="67" t="str">
        <f t="shared" si="9"/>
        <v/>
      </c>
      <c r="J76" s="67" t="str">
        <f t="shared" si="10"/>
        <v/>
      </c>
      <c r="K76" s="67"/>
      <c r="L76" s="67"/>
      <c r="M76" s="67"/>
      <c r="N76" s="75"/>
      <c r="O76" s="75"/>
      <c r="P76" s="75"/>
      <c r="Q76" s="75"/>
      <c r="R76" s="75"/>
      <c r="S76" s="75"/>
      <c r="T76" s="75"/>
      <c r="U76" s="75"/>
      <c r="V76" s="75"/>
      <c r="W76" s="80"/>
      <c r="X76" s="75"/>
      <c r="Y76" s="75"/>
      <c r="Z76" s="75"/>
      <c r="AA76" s="75"/>
      <c r="AB76" s="75"/>
    </row>
    <row r="77" spans="1:28" x14ac:dyDescent="0.3">
      <c r="A77" s="67">
        <v>76</v>
      </c>
      <c r="B77" s="76"/>
      <c r="C77" s="76"/>
      <c r="D77" s="76"/>
      <c r="E77" s="71"/>
      <c r="F77" s="71"/>
      <c r="G77" s="80"/>
      <c r="H77" s="71"/>
      <c r="I77" s="67" t="str">
        <f t="shared" si="9"/>
        <v/>
      </c>
      <c r="J77" s="67" t="str">
        <f t="shared" si="10"/>
        <v/>
      </c>
      <c r="K77" s="67"/>
      <c r="L77" s="67"/>
      <c r="M77" s="67"/>
      <c r="N77" s="75"/>
      <c r="O77" s="75"/>
      <c r="P77" s="75"/>
      <c r="Q77" s="75"/>
      <c r="R77" s="75"/>
      <c r="S77" s="75"/>
      <c r="T77" s="75"/>
      <c r="U77" s="75"/>
      <c r="V77" s="75"/>
      <c r="W77" s="80"/>
      <c r="X77" s="75"/>
      <c r="Y77" s="75"/>
      <c r="Z77" s="75"/>
      <c r="AA77" s="75"/>
      <c r="AB77" s="75"/>
    </row>
    <row r="78" spans="1:28" x14ac:dyDescent="0.3">
      <c r="A78" s="67">
        <v>77</v>
      </c>
      <c r="B78" s="76"/>
      <c r="C78" s="76"/>
      <c r="D78" s="76"/>
      <c r="E78" s="71"/>
      <c r="F78" s="71"/>
      <c r="G78" s="80"/>
      <c r="H78" s="71"/>
      <c r="I78" s="67" t="str">
        <f t="shared" si="9"/>
        <v/>
      </c>
      <c r="J78" s="67" t="str">
        <f t="shared" si="10"/>
        <v/>
      </c>
      <c r="K78" s="67"/>
      <c r="L78" s="67"/>
      <c r="M78" s="67"/>
      <c r="N78" s="75"/>
      <c r="O78" s="75"/>
      <c r="P78" s="75"/>
      <c r="Q78" s="75"/>
      <c r="R78" s="75"/>
      <c r="S78" s="75"/>
      <c r="T78" s="75"/>
      <c r="U78" s="75"/>
      <c r="V78" s="75"/>
      <c r="W78" s="80"/>
      <c r="X78" s="75"/>
      <c r="Y78" s="75"/>
      <c r="Z78" s="75"/>
      <c r="AA78" s="75"/>
      <c r="AB78" s="75"/>
    </row>
    <row r="79" spans="1:28" x14ac:dyDescent="0.3">
      <c r="A79" s="67">
        <v>78</v>
      </c>
      <c r="B79" s="76"/>
      <c r="C79" s="76"/>
      <c r="D79" s="76"/>
      <c r="E79" s="71"/>
      <c r="F79" s="71"/>
      <c r="G79" s="80"/>
      <c r="H79" s="71"/>
      <c r="I79" s="67" t="str">
        <f t="shared" si="9"/>
        <v/>
      </c>
      <c r="J79" s="67" t="str">
        <f t="shared" si="10"/>
        <v/>
      </c>
      <c r="K79" s="67"/>
      <c r="L79" s="67"/>
      <c r="M79" s="67"/>
      <c r="N79" s="75"/>
      <c r="O79" s="75"/>
      <c r="P79" s="75"/>
      <c r="Q79" s="75"/>
      <c r="R79" s="75"/>
      <c r="S79" s="75"/>
      <c r="T79" s="75"/>
      <c r="U79" s="75"/>
      <c r="V79" s="75"/>
      <c r="W79" s="80"/>
      <c r="X79" s="75"/>
      <c r="Y79" s="75"/>
      <c r="Z79" s="75"/>
      <c r="AA79" s="75"/>
      <c r="AB79" s="75"/>
    </row>
    <row r="80" spans="1:28" x14ac:dyDescent="0.3">
      <c r="A80" s="67">
        <v>79</v>
      </c>
      <c r="B80" s="76"/>
      <c r="C80" s="76"/>
      <c r="D80" s="76"/>
      <c r="E80" s="71"/>
      <c r="F80" s="71"/>
      <c r="G80" s="80"/>
      <c r="H80" s="71"/>
      <c r="I80" s="67" t="str">
        <f t="shared" si="9"/>
        <v/>
      </c>
      <c r="J80" s="67" t="str">
        <f t="shared" si="10"/>
        <v/>
      </c>
      <c r="K80" s="67"/>
      <c r="L80" s="67"/>
      <c r="M80" s="67"/>
      <c r="N80" s="75"/>
      <c r="O80" s="75"/>
      <c r="P80" s="75"/>
      <c r="Q80" s="75"/>
      <c r="R80" s="75"/>
      <c r="S80" s="75"/>
      <c r="T80" s="75"/>
      <c r="U80" s="75"/>
      <c r="V80" s="75"/>
      <c r="W80" s="80"/>
      <c r="X80" s="75"/>
      <c r="Y80" s="75"/>
      <c r="Z80" s="75"/>
      <c r="AA80" s="75"/>
      <c r="AB80" s="75"/>
    </row>
    <row r="81" spans="1:28" x14ac:dyDescent="0.3">
      <c r="A81" s="67">
        <v>80</v>
      </c>
      <c r="B81" s="76"/>
      <c r="C81" s="76"/>
      <c r="D81" s="76"/>
      <c r="E81" s="71"/>
      <c r="F81" s="71"/>
      <c r="G81" s="80"/>
      <c r="H81" s="71"/>
      <c r="I81" s="67" t="str">
        <f t="shared" si="9"/>
        <v/>
      </c>
      <c r="J81" s="67" t="str">
        <f t="shared" si="10"/>
        <v/>
      </c>
      <c r="K81" s="67"/>
      <c r="L81" s="67"/>
      <c r="M81" s="67"/>
      <c r="N81" s="75"/>
      <c r="O81" s="75"/>
      <c r="P81" s="75"/>
      <c r="Q81" s="75"/>
      <c r="R81" s="75"/>
      <c r="S81" s="75"/>
      <c r="T81" s="75"/>
      <c r="U81" s="75"/>
      <c r="V81" s="75"/>
      <c r="W81" s="80"/>
      <c r="X81" s="75"/>
      <c r="Y81" s="75"/>
      <c r="Z81" s="75"/>
      <c r="AA81" s="75"/>
      <c r="AB81" s="75"/>
    </row>
    <row r="82" spans="1:28" x14ac:dyDescent="0.3">
      <c r="A82" s="67">
        <v>81</v>
      </c>
      <c r="B82" s="76"/>
      <c r="C82" s="76"/>
      <c r="D82" s="76"/>
      <c r="E82" s="71"/>
      <c r="F82" s="71"/>
      <c r="G82" s="80"/>
      <c r="H82" s="71"/>
      <c r="I82" s="67" t="str">
        <f t="shared" si="9"/>
        <v/>
      </c>
      <c r="J82" s="67" t="str">
        <f t="shared" si="10"/>
        <v/>
      </c>
      <c r="K82" s="67"/>
      <c r="L82" s="67"/>
      <c r="M82" s="67"/>
      <c r="N82" s="75"/>
      <c r="O82" s="75"/>
      <c r="P82" s="75"/>
      <c r="Q82" s="75"/>
      <c r="R82" s="75"/>
      <c r="S82" s="75"/>
      <c r="T82" s="75"/>
      <c r="U82" s="75"/>
      <c r="V82" s="75"/>
      <c r="W82" s="80"/>
      <c r="X82" s="75"/>
      <c r="Y82" s="75"/>
      <c r="Z82" s="75"/>
      <c r="AA82" s="75"/>
      <c r="AB82" s="75"/>
    </row>
    <row r="83" spans="1:28" x14ac:dyDescent="0.3">
      <c r="A83" s="67">
        <v>82</v>
      </c>
      <c r="B83" s="76"/>
      <c r="C83" s="76"/>
      <c r="D83" s="76"/>
      <c r="E83" s="71"/>
      <c r="F83" s="71"/>
      <c r="G83" s="80"/>
      <c r="H83" s="71"/>
      <c r="I83" s="67" t="str">
        <f t="shared" si="9"/>
        <v/>
      </c>
      <c r="J83" s="67" t="str">
        <f t="shared" si="10"/>
        <v/>
      </c>
      <c r="K83" s="67"/>
      <c r="L83" s="67"/>
      <c r="M83" s="67"/>
      <c r="N83" s="75"/>
      <c r="O83" s="75"/>
      <c r="P83" s="75"/>
      <c r="Q83" s="75"/>
      <c r="R83" s="75"/>
      <c r="S83" s="75"/>
      <c r="T83" s="75"/>
      <c r="U83" s="75"/>
      <c r="V83" s="75"/>
      <c r="W83" s="80"/>
      <c r="X83" s="75"/>
      <c r="Y83" s="75"/>
      <c r="Z83" s="75"/>
      <c r="AA83" s="75"/>
      <c r="AB83" s="75"/>
    </row>
    <row r="84" spans="1:28" x14ac:dyDescent="0.3">
      <c r="A84" s="67">
        <v>83</v>
      </c>
      <c r="B84" s="76"/>
      <c r="C84" s="76"/>
      <c r="D84" s="76"/>
      <c r="E84" s="71"/>
      <c r="F84" s="71"/>
      <c r="G84" s="80"/>
      <c r="H84" s="71"/>
      <c r="I84" s="67" t="str">
        <f t="shared" si="9"/>
        <v/>
      </c>
      <c r="J84" s="67" t="str">
        <f t="shared" si="10"/>
        <v/>
      </c>
      <c r="K84" s="67"/>
      <c r="L84" s="67"/>
      <c r="M84" s="67"/>
      <c r="N84" s="75"/>
      <c r="O84" s="75"/>
      <c r="P84" s="75"/>
      <c r="Q84" s="75"/>
      <c r="R84" s="75"/>
      <c r="S84" s="75"/>
      <c r="T84" s="75"/>
      <c r="U84" s="75"/>
      <c r="V84" s="75"/>
      <c r="W84" s="80"/>
      <c r="X84" s="75"/>
      <c r="Y84" s="75"/>
      <c r="Z84" s="75"/>
      <c r="AA84" s="75"/>
      <c r="AB84" s="75"/>
    </row>
    <row r="85" spans="1:28" x14ac:dyDescent="0.3">
      <c r="A85" s="67">
        <v>84</v>
      </c>
      <c r="B85" s="76"/>
      <c r="C85" s="76"/>
      <c r="D85" s="76"/>
      <c r="E85" s="71"/>
      <c r="F85" s="71"/>
      <c r="G85" s="80"/>
      <c r="H85" s="71"/>
      <c r="I85" s="67" t="str">
        <f t="shared" si="9"/>
        <v/>
      </c>
      <c r="J85" s="67" t="str">
        <f t="shared" si="10"/>
        <v/>
      </c>
      <c r="K85" s="67"/>
      <c r="L85" s="67"/>
      <c r="M85" s="67"/>
      <c r="N85" s="75"/>
      <c r="O85" s="75"/>
      <c r="P85" s="75"/>
      <c r="Q85" s="75"/>
      <c r="R85" s="75"/>
      <c r="S85" s="75"/>
      <c r="T85" s="75"/>
      <c r="U85" s="75"/>
      <c r="V85" s="75"/>
      <c r="W85" s="80"/>
      <c r="X85" s="75"/>
      <c r="Y85" s="75"/>
      <c r="Z85" s="75"/>
      <c r="AA85" s="75"/>
      <c r="AB85" s="75"/>
    </row>
    <row r="86" spans="1:28" x14ac:dyDescent="0.3">
      <c r="A86" s="67">
        <v>85</v>
      </c>
      <c r="B86" s="76"/>
      <c r="C86" s="76"/>
      <c r="D86" s="76"/>
      <c r="E86" s="71"/>
      <c r="F86" s="71"/>
      <c r="G86" s="80"/>
      <c r="H86" s="71"/>
      <c r="I86" s="67" t="str">
        <f t="shared" si="9"/>
        <v/>
      </c>
      <c r="J86" s="67" t="str">
        <f t="shared" si="10"/>
        <v/>
      </c>
      <c r="K86" s="67"/>
      <c r="L86" s="67"/>
      <c r="M86" s="67"/>
      <c r="N86" s="75"/>
      <c r="O86" s="75"/>
      <c r="P86" s="75"/>
      <c r="Q86" s="75"/>
      <c r="R86" s="75"/>
      <c r="S86" s="75"/>
      <c r="T86" s="75"/>
      <c r="U86" s="75"/>
      <c r="V86" s="75"/>
      <c r="W86" s="80"/>
      <c r="X86" s="75"/>
      <c r="Y86" s="75"/>
      <c r="Z86" s="75"/>
      <c r="AA86" s="75"/>
      <c r="AB86" s="75"/>
    </row>
    <row r="87" spans="1:28" x14ac:dyDescent="0.3">
      <c r="A87" s="67">
        <v>86</v>
      </c>
      <c r="B87" s="76"/>
      <c r="C87" s="76"/>
      <c r="D87" s="76"/>
      <c r="E87" s="71"/>
      <c r="F87" s="71"/>
      <c r="G87" s="80"/>
      <c r="H87" s="71"/>
      <c r="I87" s="67" t="str">
        <f t="shared" si="9"/>
        <v/>
      </c>
      <c r="J87" s="67" t="str">
        <f t="shared" si="10"/>
        <v/>
      </c>
      <c r="K87" s="67"/>
      <c r="L87" s="67"/>
      <c r="M87" s="67"/>
      <c r="N87" s="75"/>
      <c r="O87" s="75"/>
      <c r="P87" s="75"/>
      <c r="Q87" s="75"/>
      <c r="R87" s="75"/>
      <c r="S87" s="75"/>
      <c r="T87" s="75"/>
      <c r="U87" s="75"/>
      <c r="V87" s="75"/>
      <c r="W87" s="80"/>
      <c r="X87" s="75"/>
      <c r="Y87" s="75"/>
      <c r="Z87" s="75"/>
      <c r="AA87" s="75"/>
      <c r="AB87" s="75"/>
    </row>
    <row r="88" spans="1:28" x14ac:dyDescent="0.3">
      <c r="A88" s="67">
        <v>87</v>
      </c>
      <c r="B88" s="76"/>
      <c r="C88" s="76"/>
      <c r="D88" s="76"/>
      <c r="E88" s="71"/>
      <c r="F88" s="71"/>
      <c r="G88" s="80"/>
      <c r="H88" s="71"/>
      <c r="I88" s="67" t="str">
        <f t="shared" si="9"/>
        <v/>
      </c>
      <c r="J88" s="67" t="str">
        <f t="shared" si="10"/>
        <v/>
      </c>
      <c r="K88" s="67"/>
      <c r="L88" s="67"/>
      <c r="M88" s="67"/>
      <c r="N88" s="75"/>
      <c r="O88" s="75"/>
      <c r="P88" s="75"/>
      <c r="Q88" s="75"/>
      <c r="R88" s="75"/>
      <c r="S88" s="75"/>
      <c r="T88" s="75"/>
      <c r="U88" s="75"/>
      <c r="V88" s="75"/>
      <c r="W88" s="80"/>
      <c r="X88" s="75"/>
      <c r="Y88" s="75"/>
      <c r="Z88" s="75"/>
      <c r="AA88" s="75"/>
      <c r="AB88" s="75"/>
    </row>
    <row r="89" spans="1:28" x14ac:dyDescent="0.3">
      <c r="A89" s="67">
        <v>88</v>
      </c>
      <c r="B89" s="76"/>
      <c r="C89" s="76"/>
      <c r="D89" s="76"/>
      <c r="E89" s="71"/>
      <c r="F89" s="71"/>
      <c r="G89" s="80"/>
      <c r="H89" s="71"/>
      <c r="I89" s="67" t="str">
        <f t="shared" si="9"/>
        <v/>
      </c>
      <c r="J89" s="67" t="str">
        <f t="shared" si="10"/>
        <v/>
      </c>
      <c r="K89" s="67"/>
      <c r="L89" s="67"/>
      <c r="M89" s="67"/>
      <c r="N89" s="75"/>
      <c r="O89" s="75"/>
      <c r="P89" s="75"/>
      <c r="Q89" s="75"/>
      <c r="R89" s="75"/>
      <c r="S89" s="75"/>
      <c r="T89" s="75"/>
      <c r="U89" s="75"/>
      <c r="V89" s="75"/>
      <c r="W89" s="80"/>
      <c r="X89" s="75"/>
      <c r="Y89" s="75"/>
      <c r="Z89" s="75"/>
      <c r="AA89" s="75"/>
      <c r="AB89" s="75"/>
    </row>
    <row r="90" spans="1:28" x14ac:dyDescent="0.3">
      <c r="A90" s="67">
        <v>89</v>
      </c>
      <c r="B90" s="76"/>
      <c r="C90" s="76"/>
      <c r="D90" s="76"/>
      <c r="E90" s="71"/>
      <c r="F90" s="71"/>
      <c r="G90" s="80"/>
      <c r="H90" s="71"/>
      <c r="I90" s="67" t="str">
        <f t="shared" si="9"/>
        <v/>
      </c>
      <c r="J90" s="67" t="str">
        <f t="shared" si="10"/>
        <v/>
      </c>
      <c r="K90" s="67"/>
      <c r="L90" s="67"/>
      <c r="M90" s="67"/>
      <c r="N90" s="75"/>
      <c r="O90" s="75"/>
      <c r="P90" s="75"/>
      <c r="Q90" s="75"/>
      <c r="R90" s="75"/>
      <c r="S90" s="75"/>
      <c r="T90" s="75"/>
      <c r="U90" s="75"/>
      <c r="V90" s="75"/>
      <c r="W90" s="80"/>
      <c r="X90" s="75"/>
      <c r="Y90" s="75"/>
      <c r="Z90" s="75"/>
      <c r="AA90" s="75"/>
      <c r="AB90" s="75"/>
    </row>
    <row r="91" spans="1:28" x14ac:dyDescent="0.3">
      <c r="A91" s="67">
        <v>90</v>
      </c>
      <c r="B91" s="76"/>
      <c r="C91" s="76"/>
      <c r="D91" s="76"/>
      <c r="E91" s="71"/>
      <c r="F91" s="71"/>
      <c r="G91" s="80"/>
      <c r="H91" s="71"/>
      <c r="I91" s="67" t="str">
        <f t="shared" si="9"/>
        <v/>
      </c>
      <c r="J91" s="67" t="str">
        <f t="shared" si="10"/>
        <v/>
      </c>
      <c r="K91" s="67"/>
      <c r="L91" s="67"/>
      <c r="M91" s="67"/>
      <c r="N91" s="75"/>
      <c r="O91" s="75"/>
      <c r="P91" s="75"/>
      <c r="Q91" s="75"/>
      <c r="R91" s="75"/>
      <c r="S91" s="75"/>
      <c r="T91" s="75"/>
      <c r="U91" s="75"/>
      <c r="V91" s="75"/>
      <c r="W91" s="80"/>
      <c r="X91" s="75"/>
      <c r="Y91" s="75"/>
      <c r="Z91" s="75"/>
      <c r="AA91" s="75"/>
      <c r="AB91" s="75"/>
    </row>
    <row r="92" spans="1:28" x14ac:dyDescent="0.3">
      <c r="A92" s="67">
        <v>91</v>
      </c>
      <c r="B92" s="76"/>
      <c r="C92" s="76"/>
      <c r="D92" s="76"/>
      <c r="E92" s="71"/>
      <c r="F92" s="71"/>
      <c r="G92" s="80"/>
      <c r="H92" s="71"/>
      <c r="I92" s="67" t="str">
        <f t="shared" si="9"/>
        <v/>
      </c>
      <c r="J92" s="67" t="str">
        <f t="shared" si="10"/>
        <v/>
      </c>
      <c r="K92" s="67"/>
      <c r="L92" s="67"/>
      <c r="M92" s="67"/>
      <c r="N92" s="75"/>
      <c r="O92" s="75"/>
      <c r="P92" s="75"/>
      <c r="Q92" s="75"/>
      <c r="R92" s="75"/>
      <c r="S92" s="75"/>
      <c r="T92" s="75"/>
      <c r="U92" s="75"/>
      <c r="V92" s="75"/>
      <c r="W92" s="80"/>
      <c r="X92" s="75"/>
      <c r="Y92" s="75"/>
      <c r="Z92" s="75"/>
      <c r="AA92" s="75"/>
      <c r="AB92" s="75"/>
    </row>
    <row r="93" spans="1:28" x14ac:dyDescent="0.3">
      <c r="A93" s="67">
        <v>92</v>
      </c>
      <c r="B93" s="76"/>
      <c r="C93" s="76"/>
      <c r="D93" s="76"/>
      <c r="E93" s="71"/>
      <c r="F93" s="71"/>
      <c r="G93" s="80"/>
      <c r="H93" s="71"/>
      <c r="I93" s="67" t="str">
        <f t="shared" si="9"/>
        <v/>
      </c>
      <c r="J93" s="67" t="str">
        <f t="shared" si="10"/>
        <v/>
      </c>
      <c r="K93" s="67"/>
      <c r="L93" s="67"/>
      <c r="M93" s="67"/>
      <c r="N93" s="75"/>
      <c r="O93" s="75"/>
      <c r="P93" s="75"/>
      <c r="Q93" s="75"/>
      <c r="R93" s="75"/>
      <c r="S93" s="75"/>
      <c r="T93" s="75"/>
      <c r="U93" s="75"/>
      <c r="V93" s="75"/>
      <c r="W93" s="80"/>
      <c r="X93" s="75"/>
      <c r="Y93" s="75"/>
      <c r="Z93" s="75"/>
      <c r="AA93" s="75"/>
      <c r="AB93" s="75"/>
    </row>
    <row r="94" spans="1:28" x14ac:dyDescent="0.3">
      <c r="A94" s="67">
        <v>93</v>
      </c>
      <c r="B94" s="76"/>
      <c r="C94" s="76"/>
      <c r="D94" s="76"/>
      <c r="E94" s="71"/>
      <c r="F94" s="71"/>
      <c r="G94" s="80"/>
      <c r="H94" s="71"/>
      <c r="I94" s="67" t="str">
        <f t="shared" si="9"/>
        <v/>
      </c>
      <c r="J94" s="67" t="str">
        <f t="shared" si="10"/>
        <v/>
      </c>
      <c r="K94" s="67"/>
      <c r="L94" s="67"/>
      <c r="M94" s="67"/>
      <c r="N94" s="75"/>
      <c r="O94" s="75"/>
      <c r="P94" s="75"/>
      <c r="Q94" s="75"/>
      <c r="R94" s="75"/>
      <c r="S94" s="75"/>
      <c r="T94" s="75"/>
      <c r="U94" s="75"/>
      <c r="V94" s="75"/>
      <c r="W94" s="80"/>
      <c r="X94" s="75"/>
      <c r="Y94" s="75"/>
      <c r="Z94" s="75"/>
      <c r="AA94" s="75"/>
      <c r="AB94" s="75"/>
    </row>
    <row r="95" spans="1:28" x14ac:dyDescent="0.3">
      <c r="A95" s="67">
        <v>94</v>
      </c>
      <c r="B95" s="76"/>
      <c r="C95" s="76"/>
      <c r="D95" s="76"/>
      <c r="E95" s="71"/>
      <c r="F95" s="71"/>
      <c r="G95" s="80"/>
      <c r="H95" s="71"/>
      <c r="I95" s="67" t="str">
        <f t="shared" si="9"/>
        <v/>
      </c>
      <c r="J95" s="67" t="str">
        <f t="shared" si="10"/>
        <v/>
      </c>
      <c r="K95" s="67"/>
      <c r="L95" s="67"/>
      <c r="M95" s="67"/>
      <c r="N95" s="75"/>
      <c r="O95" s="75"/>
      <c r="P95" s="75"/>
      <c r="Q95" s="75"/>
      <c r="R95" s="75"/>
      <c r="S95" s="75"/>
      <c r="T95" s="75"/>
      <c r="U95" s="75"/>
      <c r="V95" s="75"/>
      <c r="W95" s="80"/>
      <c r="X95" s="75"/>
      <c r="Y95" s="75"/>
      <c r="Z95" s="75"/>
      <c r="AA95" s="75"/>
      <c r="AB95" s="75"/>
    </row>
    <row r="96" spans="1:28" x14ac:dyDescent="0.3">
      <c r="A96" s="67">
        <v>95</v>
      </c>
      <c r="B96" s="76"/>
      <c r="C96" s="76"/>
      <c r="D96" s="76"/>
      <c r="E96" s="71"/>
      <c r="F96" s="71"/>
      <c r="G96" s="80"/>
      <c r="H96" s="71"/>
      <c r="I96" s="67" t="str">
        <f t="shared" si="9"/>
        <v/>
      </c>
      <c r="J96" s="67" t="str">
        <f t="shared" si="10"/>
        <v/>
      </c>
      <c r="K96" s="67"/>
      <c r="L96" s="67"/>
      <c r="M96" s="67"/>
      <c r="N96" s="75"/>
      <c r="O96" s="75"/>
      <c r="P96" s="75"/>
      <c r="Q96" s="75"/>
      <c r="R96" s="75"/>
      <c r="S96" s="75"/>
      <c r="T96" s="75"/>
      <c r="U96" s="75"/>
      <c r="V96" s="75"/>
      <c r="W96" s="80"/>
      <c r="X96" s="75"/>
      <c r="Y96" s="75"/>
      <c r="Z96" s="75"/>
      <c r="AA96" s="75"/>
      <c r="AB96" s="75"/>
    </row>
    <row r="97" spans="1:28" x14ac:dyDescent="0.3">
      <c r="A97" s="67">
        <v>96</v>
      </c>
      <c r="B97" s="76"/>
      <c r="C97" s="76"/>
      <c r="D97" s="76"/>
      <c r="E97" s="71"/>
      <c r="F97" s="71"/>
      <c r="G97" s="80"/>
      <c r="H97" s="71"/>
      <c r="I97" s="67" t="str">
        <f t="shared" si="9"/>
        <v/>
      </c>
      <c r="J97" s="67" t="str">
        <f t="shared" si="10"/>
        <v/>
      </c>
      <c r="K97" s="67"/>
      <c r="L97" s="67"/>
      <c r="M97" s="67"/>
      <c r="N97" s="75"/>
      <c r="O97" s="75"/>
      <c r="P97" s="75"/>
      <c r="Q97" s="75"/>
      <c r="R97" s="75"/>
      <c r="S97" s="75"/>
      <c r="T97" s="75"/>
      <c r="U97" s="75"/>
      <c r="V97" s="75"/>
      <c r="W97" s="80"/>
      <c r="X97" s="75"/>
      <c r="Y97" s="75"/>
      <c r="Z97" s="75"/>
      <c r="AA97" s="75"/>
      <c r="AB97" s="75"/>
    </row>
    <row r="98" spans="1:28" x14ac:dyDescent="0.3">
      <c r="A98" s="67">
        <v>97</v>
      </c>
      <c r="B98" s="76"/>
      <c r="C98" s="76"/>
      <c r="D98" s="76"/>
      <c r="E98" s="71"/>
      <c r="F98" s="71"/>
      <c r="G98" s="80"/>
      <c r="H98" s="71"/>
      <c r="I98" s="67" t="str">
        <f t="shared" si="9"/>
        <v/>
      </c>
      <c r="J98" s="67" t="str">
        <f t="shared" si="10"/>
        <v/>
      </c>
      <c r="K98" s="67"/>
      <c r="L98" s="67"/>
      <c r="M98" s="67"/>
      <c r="N98" s="75"/>
      <c r="O98" s="75"/>
      <c r="P98" s="75"/>
      <c r="Q98" s="75"/>
      <c r="R98" s="75"/>
      <c r="S98" s="75"/>
      <c r="T98" s="75"/>
      <c r="U98" s="75"/>
      <c r="V98" s="75"/>
      <c r="W98" s="80"/>
      <c r="X98" s="75"/>
      <c r="Y98" s="75"/>
      <c r="Z98" s="75"/>
      <c r="AA98" s="75"/>
      <c r="AB98" s="75"/>
    </row>
    <row r="99" spans="1:28" x14ac:dyDescent="0.3">
      <c r="A99" s="67">
        <v>98</v>
      </c>
      <c r="B99" s="76"/>
      <c r="C99" s="76"/>
      <c r="D99" s="76"/>
      <c r="E99" s="71"/>
      <c r="F99" s="71"/>
      <c r="G99" s="80"/>
      <c r="H99" s="71"/>
      <c r="I99" s="67" t="str">
        <f t="shared" si="9"/>
        <v/>
      </c>
      <c r="J99" s="67" t="str">
        <f t="shared" si="10"/>
        <v/>
      </c>
      <c r="K99" s="67"/>
      <c r="L99" s="67"/>
      <c r="M99" s="67"/>
      <c r="N99" s="75"/>
      <c r="O99" s="75"/>
      <c r="P99" s="75"/>
      <c r="Q99" s="75"/>
      <c r="R99" s="75"/>
      <c r="S99" s="75"/>
      <c r="T99" s="75"/>
      <c r="U99" s="75"/>
      <c r="V99" s="75"/>
      <c r="W99" s="80"/>
      <c r="X99" s="75"/>
      <c r="Y99" s="75"/>
      <c r="Z99" s="75"/>
      <c r="AA99" s="75"/>
      <c r="AB99" s="75"/>
    </row>
    <row r="100" spans="1:28" x14ac:dyDescent="0.3">
      <c r="A100" s="67">
        <v>99</v>
      </c>
      <c r="B100" s="76"/>
      <c r="C100" s="76"/>
      <c r="D100" s="76"/>
      <c r="E100" s="71"/>
      <c r="F100" s="71"/>
      <c r="G100" s="80"/>
      <c r="H100" s="71"/>
      <c r="I100" s="67" t="str">
        <f t="shared" si="9"/>
        <v/>
      </c>
      <c r="J100" s="67" t="str">
        <f t="shared" si="10"/>
        <v/>
      </c>
      <c r="K100" s="67"/>
      <c r="L100" s="67"/>
      <c r="M100" s="67"/>
      <c r="N100" s="75"/>
      <c r="O100" s="75"/>
      <c r="P100" s="75"/>
      <c r="Q100" s="75"/>
      <c r="R100" s="75"/>
      <c r="S100" s="75"/>
      <c r="T100" s="75"/>
      <c r="U100" s="75"/>
      <c r="V100" s="75"/>
      <c r="W100" s="80"/>
      <c r="X100" s="75"/>
      <c r="Y100" s="75"/>
      <c r="Z100" s="75"/>
      <c r="AA100" s="75"/>
      <c r="AB100" s="75"/>
    </row>
    <row r="101" spans="1:28" x14ac:dyDescent="0.3">
      <c r="A101" s="67">
        <v>100</v>
      </c>
      <c r="B101" s="76"/>
      <c r="C101" s="76"/>
      <c r="D101" s="76"/>
      <c r="E101" s="71"/>
      <c r="F101" s="71"/>
      <c r="G101" s="80"/>
      <c r="H101" s="71"/>
      <c r="I101" s="67" t="str">
        <f t="shared" si="9"/>
        <v/>
      </c>
      <c r="J101" s="67" t="str">
        <f t="shared" si="10"/>
        <v/>
      </c>
      <c r="K101" s="67"/>
      <c r="L101" s="67"/>
      <c r="M101" s="67"/>
      <c r="N101" s="75"/>
      <c r="O101" s="75"/>
      <c r="P101" s="75"/>
      <c r="Q101" s="75"/>
      <c r="R101" s="75"/>
      <c r="S101" s="75"/>
      <c r="T101" s="75"/>
      <c r="U101" s="75"/>
      <c r="V101" s="75"/>
      <c r="W101" s="80"/>
      <c r="X101" s="75"/>
      <c r="Y101" s="75"/>
      <c r="Z101" s="75"/>
      <c r="AA101" s="75"/>
      <c r="AB101" s="75"/>
    </row>
    <row r="102" spans="1:28" x14ac:dyDescent="0.3">
      <c r="A102" s="67">
        <v>101</v>
      </c>
      <c r="B102" s="76"/>
      <c r="C102" s="76"/>
      <c r="D102" s="76"/>
      <c r="E102" s="71"/>
      <c r="F102" s="71"/>
      <c r="G102" s="80"/>
      <c r="H102" s="71"/>
      <c r="I102" s="67" t="str">
        <f t="shared" si="9"/>
        <v/>
      </c>
      <c r="J102" s="67" t="str">
        <f t="shared" si="10"/>
        <v/>
      </c>
      <c r="K102" s="67"/>
      <c r="L102" s="67"/>
      <c r="M102" s="67"/>
      <c r="N102" s="75"/>
      <c r="O102" s="75"/>
      <c r="P102" s="75"/>
      <c r="Q102" s="75"/>
      <c r="R102" s="75"/>
      <c r="S102" s="75"/>
      <c r="T102" s="75"/>
      <c r="U102" s="75"/>
      <c r="V102" s="75"/>
      <c r="W102" s="80"/>
      <c r="X102" s="75"/>
      <c r="Y102" s="75"/>
      <c r="Z102" s="75"/>
      <c r="AA102" s="75"/>
      <c r="AB102" s="75"/>
    </row>
    <row r="103" spans="1:28" x14ac:dyDescent="0.3">
      <c r="A103" s="67">
        <v>102</v>
      </c>
      <c r="B103" s="76"/>
      <c r="C103" s="76"/>
      <c r="D103" s="76"/>
      <c r="E103" s="71"/>
      <c r="F103" s="71"/>
      <c r="G103" s="80"/>
      <c r="H103" s="71"/>
      <c r="I103" s="67" t="str">
        <f t="shared" si="9"/>
        <v/>
      </c>
      <c r="J103" s="67" t="str">
        <f t="shared" si="10"/>
        <v/>
      </c>
      <c r="K103" s="67"/>
      <c r="L103" s="67"/>
      <c r="M103" s="67"/>
      <c r="N103" s="75"/>
      <c r="O103" s="75"/>
      <c r="P103" s="75"/>
      <c r="Q103" s="75"/>
      <c r="R103" s="75"/>
      <c r="S103" s="75"/>
      <c r="T103" s="75"/>
      <c r="U103" s="75"/>
      <c r="V103" s="75"/>
      <c r="W103" s="80"/>
      <c r="X103" s="75"/>
      <c r="Y103" s="75"/>
      <c r="Z103" s="75"/>
      <c r="AA103" s="75"/>
      <c r="AB103" s="75"/>
    </row>
    <row r="104" spans="1:28" x14ac:dyDescent="0.3">
      <c r="A104" s="67">
        <v>103</v>
      </c>
      <c r="B104" s="76"/>
      <c r="C104" s="76"/>
      <c r="D104" s="76"/>
      <c r="E104" s="71"/>
      <c r="F104" s="71"/>
      <c r="G104" s="80"/>
      <c r="H104" s="71"/>
      <c r="I104" s="67" t="str">
        <f t="shared" si="9"/>
        <v/>
      </c>
      <c r="J104" s="67" t="str">
        <f t="shared" si="10"/>
        <v/>
      </c>
      <c r="K104" s="67"/>
      <c r="L104" s="67"/>
      <c r="M104" s="67"/>
      <c r="N104" s="75"/>
      <c r="O104" s="75"/>
      <c r="P104" s="75"/>
      <c r="Q104" s="75"/>
      <c r="R104" s="75"/>
      <c r="S104" s="75"/>
      <c r="T104" s="75"/>
      <c r="U104" s="75"/>
      <c r="V104" s="75"/>
      <c r="W104" s="80"/>
      <c r="X104" s="75"/>
      <c r="Y104" s="75"/>
      <c r="Z104" s="75"/>
      <c r="AA104" s="75"/>
      <c r="AB104" s="75"/>
    </row>
    <row r="105" spans="1:28" x14ac:dyDescent="0.3">
      <c r="A105" s="67">
        <v>104</v>
      </c>
      <c r="B105" s="76"/>
      <c r="C105" s="76"/>
      <c r="D105" s="76"/>
      <c r="E105" s="71"/>
      <c r="F105" s="71"/>
      <c r="G105" s="80"/>
      <c r="H105" s="71"/>
      <c r="I105" s="67" t="str">
        <f t="shared" si="9"/>
        <v/>
      </c>
      <c r="J105" s="67" t="str">
        <f t="shared" si="10"/>
        <v/>
      </c>
      <c r="K105" s="67"/>
      <c r="L105" s="67"/>
      <c r="M105" s="67"/>
      <c r="N105" s="75"/>
      <c r="O105" s="75"/>
      <c r="P105" s="75"/>
      <c r="Q105" s="75"/>
      <c r="R105" s="75"/>
      <c r="S105" s="75"/>
      <c r="T105" s="75"/>
      <c r="U105" s="75"/>
      <c r="V105" s="75"/>
      <c r="W105" s="80"/>
      <c r="X105" s="75"/>
      <c r="Y105" s="75"/>
      <c r="Z105" s="75"/>
      <c r="AA105" s="75"/>
      <c r="AB105" s="75"/>
    </row>
    <row r="106" spans="1:28" x14ac:dyDescent="0.3">
      <c r="A106" s="67">
        <v>105</v>
      </c>
      <c r="B106" s="76"/>
      <c r="C106" s="76"/>
      <c r="D106" s="76"/>
      <c r="E106" s="71"/>
      <c r="F106" s="71"/>
      <c r="G106" s="80"/>
      <c r="H106" s="71"/>
      <c r="I106" s="67" t="str">
        <f t="shared" si="9"/>
        <v/>
      </c>
      <c r="J106" s="67" t="str">
        <f t="shared" si="10"/>
        <v/>
      </c>
      <c r="K106" s="67"/>
      <c r="L106" s="67"/>
      <c r="M106" s="67"/>
      <c r="N106" s="75"/>
      <c r="O106" s="75"/>
      <c r="P106" s="75"/>
      <c r="Q106" s="75"/>
      <c r="R106" s="75"/>
      <c r="S106" s="75"/>
      <c r="T106" s="75"/>
      <c r="U106" s="75"/>
      <c r="V106" s="75"/>
      <c r="W106" s="80"/>
      <c r="X106" s="75"/>
      <c r="Y106" s="75"/>
      <c r="Z106" s="75"/>
      <c r="AA106" s="75"/>
      <c r="AB106" s="75"/>
    </row>
    <row r="107" spans="1:28" x14ac:dyDescent="0.3">
      <c r="A107" s="67">
        <v>106</v>
      </c>
      <c r="B107" s="76"/>
      <c r="C107" s="76"/>
      <c r="D107" s="76"/>
      <c r="E107" s="71"/>
      <c r="F107" s="71"/>
      <c r="G107" s="80"/>
      <c r="H107" s="71"/>
      <c r="I107" s="67" t="str">
        <f t="shared" si="9"/>
        <v/>
      </c>
      <c r="J107" s="67" t="str">
        <f t="shared" si="10"/>
        <v/>
      </c>
      <c r="K107" s="67"/>
      <c r="L107" s="67"/>
      <c r="M107" s="67"/>
      <c r="N107" s="75"/>
      <c r="O107" s="75"/>
      <c r="P107" s="75"/>
      <c r="Q107" s="75"/>
      <c r="R107" s="75"/>
      <c r="S107" s="75"/>
      <c r="T107" s="75"/>
      <c r="U107" s="75"/>
      <c r="V107" s="75"/>
      <c r="W107" s="80"/>
      <c r="X107" s="75"/>
      <c r="Y107" s="75"/>
      <c r="Z107" s="75"/>
      <c r="AA107" s="75"/>
      <c r="AB107" s="75"/>
    </row>
    <row r="108" spans="1:28" x14ac:dyDescent="0.3">
      <c r="A108" s="67">
        <v>107</v>
      </c>
      <c r="B108" s="76"/>
      <c r="C108" s="76"/>
      <c r="D108" s="76"/>
      <c r="E108" s="71"/>
      <c r="F108" s="71"/>
      <c r="G108" s="80"/>
      <c r="H108" s="71"/>
      <c r="I108" s="67" t="str">
        <f t="shared" si="9"/>
        <v/>
      </c>
      <c r="J108" s="67" t="str">
        <f t="shared" si="10"/>
        <v/>
      </c>
      <c r="K108" s="67"/>
      <c r="L108" s="67"/>
      <c r="M108" s="67"/>
      <c r="N108" s="75"/>
      <c r="O108" s="75"/>
      <c r="P108" s="75"/>
      <c r="Q108" s="75"/>
      <c r="R108" s="75"/>
      <c r="S108" s="75"/>
      <c r="T108" s="75"/>
      <c r="U108" s="75"/>
      <c r="V108" s="75"/>
      <c r="W108" s="80"/>
      <c r="X108" s="75"/>
      <c r="Y108" s="75"/>
      <c r="Z108" s="75"/>
      <c r="AA108" s="75"/>
      <c r="AB108" s="75"/>
    </row>
    <row r="109" spans="1:28" x14ac:dyDescent="0.3">
      <c r="A109" s="67">
        <v>108</v>
      </c>
      <c r="B109" s="76"/>
      <c r="C109" s="76"/>
      <c r="D109" s="76"/>
      <c r="E109" s="71"/>
      <c r="F109" s="71"/>
      <c r="G109" s="80"/>
      <c r="H109" s="71"/>
      <c r="I109" s="67" t="str">
        <f t="shared" si="9"/>
        <v/>
      </c>
      <c r="J109" s="67" t="str">
        <f t="shared" si="10"/>
        <v/>
      </c>
      <c r="K109" s="67"/>
      <c r="L109" s="67"/>
      <c r="M109" s="67"/>
      <c r="N109" s="75"/>
      <c r="O109" s="75"/>
      <c r="P109" s="75"/>
      <c r="Q109" s="75"/>
      <c r="R109" s="75"/>
      <c r="S109" s="75"/>
      <c r="T109" s="75"/>
      <c r="U109" s="75"/>
      <c r="V109" s="75"/>
      <c r="W109" s="80"/>
      <c r="X109" s="75"/>
      <c r="Y109" s="75"/>
      <c r="Z109" s="75"/>
      <c r="AA109" s="75"/>
      <c r="AB109" s="75"/>
    </row>
    <row r="110" spans="1:28" x14ac:dyDescent="0.3">
      <c r="A110" s="67">
        <v>109</v>
      </c>
      <c r="B110" s="76"/>
      <c r="C110" s="76"/>
      <c r="D110" s="76"/>
      <c r="E110" s="71"/>
      <c r="F110" s="71"/>
      <c r="G110" s="80"/>
      <c r="H110" s="71"/>
      <c r="I110" s="67" t="str">
        <f t="shared" si="9"/>
        <v/>
      </c>
      <c r="J110" s="67" t="str">
        <f t="shared" si="10"/>
        <v/>
      </c>
      <c r="K110" s="67"/>
      <c r="L110" s="67"/>
      <c r="M110" s="67"/>
      <c r="N110" s="75"/>
      <c r="O110" s="75"/>
      <c r="P110" s="75"/>
      <c r="Q110" s="75"/>
      <c r="R110" s="75"/>
      <c r="S110" s="75"/>
      <c r="T110" s="75"/>
      <c r="U110" s="75"/>
      <c r="V110" s="75"/>
      <c r="W110" s="80"/>
      <c r="X110" s="75"/>
      <c r="Y110" s="75"/>
      <c r="Z110" s="75"/>
      <c r="AA110" s="75"/>
      <c r="AB110" s="75"/>
    </row>
    <row r="111" spans="1:28" x14ac:dyDescent="0.3">
      <c r="A111" s="67">
        <v>110</v>
      </c>
      <c r="B111" s="76"/>
      <c r="C111" s="76"/>
      <c r="D111" s="76"/>
      <c r="E111" s="71"/>
      <c r="F111" s="71"/>
      <c r="G111" s="80"/>
      <c r="H111" s="71"/>
      <c r="I111" s="67" t="str">
        <f t="shared" si="9"/>
        <v/>
      </c>
      <c r="J111" s="67" t="str">
        <f t="shared" si="10"/>
        <v/>
      </c>
      <c r="K111" s="67"/>
      <c r="L111" s="67"/>
      <c r="M111" s="67"/>
      <c r="N111" s="75"/>
      <c r="O111" s="75"/>
      <c r="P111" s="75"/>
      <c r="Q111" s="75"/>
      <c r="R111" s="75"/>
      <c r="S111" s="75"/>
      <c r="T111" s="75"/>
      <c r="U111" s="75"/>
      <c r="V111" s="75"/>
      <c r="W111" s="80"/>
      <c r="X111" s="75"/>
      <c r="Y111" s="75"/>
      <c r="Z111" s="75"/>
      <c r="AA111" s="75"/>
      <c r="AB111" s="75"/>
    </row>
    <row r="112" spans="1:28" x14ac:dyDescent="0.3">
      <c r="A112" s="67">
        <v>111</v>
      </c>
      <c r="B112" s="76"/>
      <c r="C112" s="76"/>
      <c r="D112" s="76"/>
      <c r="E112" s="71"/>
      <c r="F112" s="71"/>
      <c r="G112" s="80"/>
      <c r="H112" s="71"/>
      <c r="I112" s="67" t="str">
        <f t="shared" si="9"/>
        <v/>
      </c>
      <c r="J112" s="67" t="str">
        <f t="shared" si="10"/>
        <v/>
      </c>
      <c r="K112" s="67"/>
      <c r="L112" s="67"/>
      <c r="M112" s="67"/>
      <c r="N112" s="75"/>
      <c r="O112" s="75"/>
      <c r="P112" s="75"/>
      <c r="Q112" s="75"/>
      <c r="R112" s="75"/>
      <c r="S112" s="75"/>
      <c r="T112" s="75"/>
      <c r="U112" s="75"/>
      <c r="V112" s="75"/>
      <c r="W112" s="80"/>
      <c r="X112" s="75"/>
      <c r="Y112" s="75"/>
      <c r="Z112" s="75"/>
      <c r="AA112" s="75"/>
      <c r="AB112" s="75"/>
    </row>
    <row r="113" spans="1:28" x14ac:dyDescent="0.3">
      <c r="A113" s="67">
        <v>112</v>
      </c>
      <c r="B113" s="76"/>
      <c r="C113" s="76"/>
      <c r="D113" s="76"/>
      <c r="E113" s="71"/>
      <c r="F113" s="71"/>
      <c r="G113" s="80"/>
      <c r="H113" s="71"/>
      <c r="I113" s="67" t="str">
        <f t="shared" si="9"/>
        <v/>
      </c>
      <c r="J113" s="67" t="str">
        <f t="shared" si="10"/>
        <v/>
      </c>
      <c r="K113" s="67"/>
      <c r="L113" s="67"/>
      <c r="M113" s="67"/>
      <c r="N113" s="75"/>
      <c r="O113" s="75"/>
      <c r="P113" s="75"/>
      <c r="Q113" s="75"/>
      <c r="R113" s="75"/>
      <c r="S113" s="75"/>
      <c r="T113" s="75"/>
      <c r="U113" s="75"/>
      <c r="V113" s="75"/>
      <c r="W113" s="80"/>
      <c r="X113" s="75"/>
      <c r="Y113" s="75"/>
      <c r="Z113" s="75"/>
      <c r="AA113" s="75"/>
      <c r="AB113" s="75"/>
    </row>
    <row r="114" spans="1:28" x14ac:dyDescent="0.3">
      <c r="A114" s="67">
        <v>113</v>
      </c>
      <c r="B114" s="76"/>
      <c r="C114" s="76"/>
      <c r="D114" s="76"/>
      <c r="E114" s="71"/>
      <c r="F114" s="71"/>
      <c r="G114" s="80"/>
      <c r="H114" s="71"/>
      <c r="I114" s="67" t="str">
        <f t="shared" si="9"/>
        <v/>
      </c>
      <c r="J114" s="67" t="str">
        <f t="shared" si="10"/>
        <v/>
      </c>
      <c r="K114" s="67"/>
      <c r="L114" s="67"/>
      <c r="M114" s="67"/>
      <c r="N114" s="75"/>
      <c r="O114" s="75"/>
      <c r="P114" s="75"/>
      <c r="Q114" s="75"/>
      <c r="R114" s="75"/>
      <c r="S114" s="75"/>
      <c r="T114" s="75"/>
      <c r="U114" s="75"/>
      <c r="V114" s="75"/>
      <c r="W114" s="80"/>
      <c r="X114" s="75"/>
      <c r="Y114" s="75"/>
      <c r="Z114" s="75"/>
      <c r="AA114" s="75"/>
      <c r="AB114" s="75"/>
    </row>
    <row r="115" spans="1:28" x14ac:dyDescent="0.3">
      <c r="A115" s="67">
        <v>114</v>
      </c>
      <c r="B115" s="76"/>
      <c r="C115" s="76"/>
      <c r="D115" s="76"/>
      <c r="E115" s="71"/>
      <c r="F115" s="71"/>
      <c r="G115" s="80"/>
      <c r="H115" s="71"/>
      <c r="I115" s="67" t="str">
        <f t="shared" si="9"/>
        <v/>
      </c>
      <c r="J115" s="67" t="str">
        <f t="shared" si="10"/>
        <v/>
      </c>
      <c r="K115" s="67"/>
      <c r="L115" s="67"/>
      <c r="M115" s="67"/>
      <c r="N115" s="75"/>
      <c r="O115" s="75"/>
      <c r="P115" s="75"/>
      <c r="Q115" s="75"/>
      <c r="R115" s="75"/>
      <c r="S115" s="75"/>
      <c r="T115" s="75"/>
      <c r="U115" s="75"/>
      <c r="V115" s="75"/>
      <c r="W115" s="80"/>
      <c r="X115" s="75"/>
      <c r="Y115" s="75"/>
      <c r="Z115" s="75"/>
      <c r="AA115" s="75"/>
      <c r="AB115" s="75"/>
    </row>
    <row r="116" spans="1:28" x14ac:dyDescent="0.3">
      <c r="A116" s="67">
        <v>115</v>
      </c>
      <c r="B116" s="76"/>
      <c r="C116" s="76"/>
      <c r="D116" s="76"/>
      <c r="E116" s="71"/>
      <c r="F116" s="71"/>
      <c r="G116" s="80"/>
      <c r="H116" s="71"/>
      <c r="I116" s="67" t="str">
        <f t="shared" si="9"/>
        <v/>
      </c>
      <c r="J116" s="67" t="str">
        <f t="shared" si="10"/>
        <v/>
      </c>
      <c r="K116" s="67"/>
      <c r="L116" s="67"/>
      <c r="M116" s="67"/>
      <c r="N116" s="75"/>
      <c r="O116" s="75"/>
      <c r="P116" s="75"/>
      <c r="Q116" s="75"/>
      <c r="R116" s="75"/>
      <c r="S116" s="75"/>
      <c r="T116" s="75"/>
      <c r="U116" s="75"/>
      <c r="V116" s="75"/>
      <c r="W116" s="80"/>
      <c r="X116" s="75"/>
      <c r="Y116" s="75"/>
      <c r="Z116" s="75"/>
      <c r="AA116" s="75"/>
      <c r="AB116" s="75"/>
    </row>
    <row r="117" spans="1:28" x14ac:dyDescent="0.3">
      <c r="A117" s="67">
        <v>116</v>
      </c>
      <c r="B117" s="76"/>
      <c r="C117" s="76"/>
      <c r="D117" s="76"/>
      <c r="E117" s="71"/>
      <c r="F117" s="71"/>
      <c r="G117" s="80"/>
      <c r="H117" s="71"/>
      <c r="I117" s="67" t="str">
        <f t="shared" si="9"/>
        <v/>
      </c>
      <c r="J117" s="67" t="str">
        <f t="shared" si="10"/>
        <v/>
      </c>
      <c r="K117" s="67"/>
      <c r="L117" s="67"/>
      <c r="M117" s="67"/>
      <c r="N117" s="75"/>
      <c r="O117" s="75"/>
      <c r="P117" s="75"/>
      <c r="Q117" s="75"/>
      <c r="R117" s="75"/>
      <c r="S117" s="75"/>
      <c r="T117" s="75"/>
      <c r="U117" s="75"/>
      <c r="V117" s="75"/>
      <c r="W117" s="80"/>
      <c r="X117" s="75"/>
      <c r="Y117" s="75"/>
      <c r="Z117" s="75"/>
      <c r="AA117" s="75"/>
      <c r="AB117" s="75"/>
    </row>
    <row r="118" spans="1:28" x14ac:dyDescent="0.3">
      <c r="A118" s="67">
        <v>117</v>
      </c>
      <c r="B118" s="76"/>
      <c r="C118" s="76"/>
      <c r="D118" s="76"/>
      <c r="E118" s="71"/>
      <c r="F118" s="71"/>
      <c r="G118" s="80"/>
      <c r="H118" s="71"/>
      <c r="I118" s="67" t="str">
        <f t="shared" si="9"/>
        <v/>
      </c>
      <c r="J118" s="67" t="str">
        <f t="shared" si="10"/>
        <v/>
      </c>
      <c r="K118" s="67"/>
      <c r="L118" s="67"/>
      <c r="M118" s="67"/>
      <c r="N118" s="75"/>
      <c r="O118" s="75"/>
      <c r="P118" s="75"/>
      <c r="Q118" s="75"/>
      <c r="R118" s="75"/>
      <c r="S118" s="75"/>
      <c r="T118" s="75"/>
      <c r="U118" s="75"/>
      <c r="V118" s="75"/>
      <c r="W118" s="80"/>
      <c r="X118" s="75"/>
      <c r="Y118" s="75"/>
      <c r="Z118" s="75"/>
      <c r="AA118" s="75"/>
      <c r="AB118" s="75"/>
    </row>
    <row r="119" spans="1:28" x14ac:dyDescent="0.3">
      <c r="A119" s="67">
        <v>118</v>
      </c>
      <c r="B119" s="76"/>
      <c r="C119" s="76"/>
      <c r="D119" s="76"/>
      <c r="E119" s="71"/>
      <c r="F119" s="71"/>
      <c r="G119" s="80"/>
      <c r="H119" s="71"/>
      <c r="I119" s="67" t="str">
        <f t="shared" si="9"/>
        <v/>
      </c>
      <c r="J119" s="67" t="str">
        <f t="shared" si="10"/>
        <v/>
      </c>
      <c r="K119" s="67"/>
      <c r="L119" s="67"/>
      <c r="M119" s="67"/>
      <c r="N119" s="75"/>
      <c r="O119" s="75"/>
      <c r="P119" s="75"/>
      <c r="Q119" s="75"/>
      <c r="R119" s="75"/>
      <c r="S119" s="75"/>
      <c r="T119" s="75"/>
      <c r="U119" s="75"/>
      <c r="V119" s="75"/>
      <c r="W119" s="80"/>
      <c r="X119" s="75"/>
      <c r="Y119" s="75"/>
      <c r="Z119" s="75"/>
      <c r="AA119" s="75"/>
      <c r="AB119" s="75"/>
    </row>
    <row r="120" spans="1:28" x14ac:dyDescent="0.3">
      <c r="A120" s="67">
        <v>119</v>
      </c>
      <c r="B120" s="76"/>
      <c r="C120" s="76"/>
      <c r="D120" s="76"/>
      <c r="E120" s="71"/>
      <c r="F120" s="71"/>
      <c r="G120" s="80"/>
      <c r="H120" s="71"/>
      <c r="I120" s="67" t="str">
        <f t="shared" si="9"/>
        <v/>
      </c>
      <c r="J120" s="67" t="str">
        <f t="shared" si="10"/>
        <v/>
      </c>
      <c r="K120" s="67"/>
      <c r="L120" s="67"/>
      <c r="M120" s="67"/>
      <c r="N120" s="75"/>
      <c r="O120" s="75"/>
      <c r="P120" s="75"/>
      <c r="Q120" s="75"/>
      <c r="R120" s="75"/>
      <c r="S120" s="75"/>
      <c r="T120" s="75"/>
      <c r="U120" s="75"/>
      <c r="V120" s="75"/>
      <c r="W120" s="80"/>
      <c r="X120" s="75"/>
      <c r="Y120" s="75"/>
      <c r="Z120" s="75"/>
      <c r="AA120" s="75"/>
      <c r="AB120" s="75"/>
    </row>
    <row r="121" spans="1:28" x14ac:dyDescent="0.3">
      <c r="A121" s="67">
        <v>120</v>
      </c>
      <c r="B121" s="76"/>
      <c r="C121" s="76"/>
      <c r="D121" s="76"/>
      <c r="E121" s="71"/>
      <c r="F121" s="71"/>
      <c r="G121" s="80"/>
      <c r="H121" s="71"/>
      <c r="I121" s="67" t="str">
        <f t="shared" si="9"/>
        <v/>
      </c>
      <c r="J121" s="67" t="str">
        <f t="shared" si="10"/>
        <v/>
      </c>
      <c r="K121" s="67"/>
      <c r="L121" s="67"/>
      <c r="M121" s="67"/>
      <c r="N121" s="75"/>
      <c r="O121" s="75"/>
      <c r="P121" s="75"/>
      <c r="Q121" s="75"/>
      <c r="R121" s="75"/>
      <c r="S121" s="75"/>
      <c r="T121" s="75"/>
      <c r="U121" s="75"/>
      <c r="V121" s="75"/>
      <c r="W121" s="80"/>
      <c r="X121" s="75"/>
      <c r="Y121" s="75"/>
      <c r="Z121" s="75"/>
      <c r="AA121" s="75"/>
      <c r="AB121" s="75"/>
    </row>
    <row r="122" spans="1:28" x14ac:dyDescent="0.3">
      <c r="A122" s="67">
        <v>121</v>
      </c>
      <c r="B122" s="76"/>
      <c r="C122" s="76"/>
      <c r="D122" s="76"/>
      <c r="E122" s="71"/>
      <c r="F122" s="71"/>
      <c r="G122" s="80"/>
      <c r="H122" s="71"/>
      <c r="I122" s="67" t="str">
        <f t="shared" si="9"/>
        <v/>
      </c>
      <c r="J122" s="67" t="str">
        <f t="shared" si="10"/>
        <v/>
      </c>
      <c r="K122" s="67"/>
      <c r="L122" s="67"/>
      <c r="M122" s="67"/>
      <c r="N122" s="75"/>
      <c r="O122" s="75"/>
      <c r="P122" s="75"/>
      <c r="Q122" s="75"/>
      <c r="R122" s="75"/>
      <c r="S122" s="75"/>
      <c r="T122" s="75"/>
      <c r="U122" s="75"/>
      <c r="V122" s="75"/>
      <c r="W122" s="80"/>
      <c r="X122" s="75"/>
      <c r="Y122" s="75"/>
      <c r="Z122" s="75"/>
      <c r="AA122" s="75"/>
      <c r="AB122" s="75"/>
    </row>
    <row r="123" spans="1:28" x14ac:dyDescent="0.3">
      <c r="A123" s="67">
        <v>122</v>
      </c>
      <c r="B123" s="76"/>
      <c r="C123" s="76"/>
      <c r="D123" s="76"/>
      <c r="E123" s="71"/>
      <c r="F123" s="71"/>
      <c r="G123" s="80"/>
      <c r="H123" s="71"/>
      <c r="I123" s="67" t="str">
        <f t="shared" si="9"/>
        <v/>
      </c>
      <c r="J123" s="67" t="str">
        <f t="shared" si="10"/>
        <v/>
      </c>
      <c r="K123" s="67"/>
      <c r="L123" s="67"/>
      <c r="M123" s="67"/>
      <c r="N123" s="75"/>
      <c r="O123" s="75"/>
      <c r="P123" s="75"/>
      <c r="Q123" s="75"/>
      <c r="R123" s="75"/>
      <c r="S123" s="75"/>
      <c r="T123" s="75"/>
      <c r="U123" s="75"/>
      <c r="V123" s="75"/>
      <c r="W123" s="80"/>
      <c r="X123" s="75"/>
      <c r="Y123" s="75"/>
      <c r="Z123" s="75"/>
      <c r="AA123" s="75"/>
      <c r="AB123" s="75"/>
    </row>
    <row r="124" spans="1:28" x14ac:dyDescent="0.3">
      <c r="A124" s="67">
        <v>123</v>
      </c>
      <c r="B124" s="76"/>
      <c r="C124" s="76"/>
      <c r="D124" s="76"/>
      <c r="E124" s="71"/>
      <c r="F124" s="71"/>
      <c r="G124" s="80"/>
      <c r="H124" s="71"/>
      <c r="I124" s="67" t="str">
        <f t="shared" si="9"/>
        <v/>
      </c>
      <c r="J124" s="67" t="str">
        <f t="shared" si="10"/>
        <v/>
      </c>
      <c r="K124" s="67"/>
      <c r="L124" s="67"/>
      <c r="M124" s="67"/>
      <c r="N124" s="75"/>
      <c r="O124" s="75"/>
      <c r="P124" s="75"/>
      <c r="Q124" s="75"/>
      <c r="R124" s="75"/>
      <c r="S124" s="75"/>
      <c r="T124" s="75"/>
      <c r="U124" s="75"/>
      <c r="V124" s="75"/>
      <c r="W124" s="80"/>
      <c r="X124" s="75"/>
      <c r="Y124" s="75"/>
      <c r="Z124" s="75"/>
      <c r="AA124" s="75"/>
      <c r="AB124" s="75"/>
    </row>
    <row r="125" spans="1:28" x14ac:dyDescent="0.3">
      <c r="A125" s="67">
        <v>124</v>
      </c>
      <c r="B125" s="76"/>
      <c r="C125" s="76"/>
      <c r="D125" s="76"/>
      <c r="E125" s="71"/>
      <c r="F125" s="71"/>
      <c r="G125" s="80"/>
      <c r="H125" s="71"/>
      <c r="I125" s="67" t="str">
        <f t="shared" si="9"/>
        <v/>
      </c>
      <c r="J125" s="67" t="str">
        <f t="shared" si="10"/>
        <v/>
      </c>
      <c r="K125" s="67"/>
      <c r="L125" s="67"/>
      <c r="M125" s="67"/>
      <c r="N125" s="75"/>
      <c r="O125" s="75"/>
      <c r="P125" s="75"/>
      <c r="Q125" s="75"/>
      <c r="R125" s="75"/>
      <c r="S125" s="75"/>
      <c r="T125" s="75"/>
      <c r="U125" s="75"/>
      <c r="V125" s="75"/>
      <c r="W125" s="80"/>
      <c r="X125" s="75"/>
      <c r="Y125" s="75"/>
      <c r="Z125" s="75"/>
      <c r="AA125" s="75"/>
      <c r="AB125" s="75"/>
    </row>
    <row r="126" spans="1:28" x14ac:dyDescent="0.3">
      <c r="A126" s="67">
        <v>125</v>
      </c>
      <c r="B126" s="76"/>
      <c r="C126" s="76"/>
      <c r="D126" s="76"/>
      <c r="E126" s="71"/>
      <c r="F126" s="71"/>
      <c r="G126" s="80"/>
      <c r="H126" s="71"/>
      <c r="I126" s="67" t="str">
        <f t="shared" si="9"/>
        <v/>
      </c>
      <c r="J126" s="67" t="str">
        <f t="shared" si="10"/>
        <v/>
      </c>
      <c r="K126" s="67"/>
      <c r="L126" s="67"/>
      <c r="M126" s="67"/>
      <c r="N126" s="75"/>
      <c r="O126" s="75"/>
      <c r="P126" s="75"/>
      <c r="Q126" s="75"/>
      <c r="R126" s="75"/>
      <c r="S126" s="75"/>
      <c r="T126" s="75"/>
      <c r="U126" s="75"/>
      <c r="V126" s="75"/>
      <c r="W126" s="80"/>
      <c r="X126" s="75"/>
      <c r="Y126" s="75"/>
      <c r="Z126" s="75"/>
      <c r="AA126" s="75"/>
      <c r="AB126" s="75"/>
    </row>
    <row r="127" spans="1:28" x14ac:dyDescent="0.3">
      <c r="A127" s="67">
        <v>126</v>
      </c>
      <c r="B127" s="76"/>
      <c r="C127" s="76"/>
      <c r="D127" s="76"/>
      <c r="E127" s="71"/>
      <c r="F127" s="71"/>
      <c r="G127" s="80"/>
      <c r="H127" s="71"/>
      <c r="I127" s="67" t="str">
        <f t="shared" si="9"/>
        <v/>
      </c>
      <c r="J127" s="67" t="str">
        <f t="shared" si="10"/>
        <v/>
      </c>
      <c r="K127" s="67"/>
      <c r="L127" s="67"/>
      <c r="M127" s="67"/>
      <c r="N127" s="75"/>
      <c r="O127" s="75"/>
      <c r="P127" s="75"/>
      <c r="Q127" s="75"/>
      <c r="R127" s="75"/>
      <c r="S127" s="75"/>
      <c r="T127" s="75"/>
      <c r="U127" s="75"/>
      <c r="V127" s="75"/>
      <c r="W127" s="80"/>
      <c r="X127" s="75"/>
      <c r="Y127" s="75"/>
      <c r="Z127" s="75"/>
      <c r="AA127" s="75"/>
      <c r="AB127" s="75"/>
    </row>
    <row r="128" spans="1:28" x14ac:dyDescent="0.3">
      <c r="A128" s="67">
        <v>127</v>
      </c>
      <c r="B128" s="76"/>
      <c r="C128" s="76"/>
      <c r="D128" s="76"/>
      <c r="E128" s="71"/>
      <c r="F128" s="71"/>
      <c r="G128" s="80"/>
      <c r="H128" s="71"/>
      <c r="I128" s="67" t="str">
        <f t="shared" si="9"/>
        <v/>
      </c>
      <c r="J128" s="67" t="str">
        <f t="shared" si="10"/>
        <v/>
      </c>
      <c r="K128" s="67"/>
      <c r="L128" s="67"/>
      <c r="M128" s="67"/>
      <c r="N128" s="75"/>
      <c r="O128" s="75"/>
      <c r="P128" s="75"/>
      <c r="Q128" s="75"/>
      <c r="R128" s="75"/>
      <c r="S128" s="75"/>
      <c r="T128" s="75"/>
      <c r="U128" s="75"/>
      <c r="V128" s="75"/>
      <c r="W128" s="80"/>
      <c r="X128" s="75"/>
      <c r="Y128" s="75"/>
      <c r="Z128" s="75"/>
      <c r="AA128" s="75"/>
      <c r="AB128" s="75"/>
    </row>
    <row r="129" spans="1:28" x14ac:dyDescent="0.3">
      <c r="A129" s="67">
        <v>128</v>
      </c>
      <c r="B129" s="76"/>
      <c r="C129" s="76"/>
      <c r="D129" s="76"/>
      <c r="E129" s="71"/>
      <c r="F129" s="71"/>
      <c r="G129" s="80"/>
      <c r="H129" s="71"/>
      <c r="I129" s="67" t="str">
        <f t="shared" si="9"/>
        <v/>
      </c>
      <c r="J129" s="67" t="str">
        <f t="shared" si="10"/>
        <v/>
      </c>
      <c r="K129" s="67"/>
      <c r="L129" s="67"/>
      <c r="M129" s="67"/>
      <c r="N129" s="75"/>
      <c r="O129" s="75"/>
      <c r="P129" s="75"/>
      <c r="Q129" s="75"/>
      <c r="R129" s="75"/>
      <c r="S129" s="75"/>
      <c r="T129" s="75"/>
      <c r="U129" s="75"/>
      <c r="V129" s="75"/>
      <c r="W129" s="80"/>
      <c r="X129" s="75"/>
      <c r="Y129" s="75"/>
      <c r="Z129" s="75"/>
      <c r="AA129" s="75"/>
      <c r="AB129" s="75"/>
    </row>
    <row r="130" spans="1:28" x14ac:dyDescent="0.3">
      <c r="A130" s="67">
        <v>129</v>
      </c>
      <c r="B130" s="76"/>
      <c r="C130" s="76"/>
      <c r="D130" s="76"/>
      <c r="E130" s="71"/>
      <c r="F130" s="71"/>
      <c r="G130" s="80"/>
      <c r="H130" s="71"/>
      <c r="I130" s="67" t="str">
        <f t="shared" ref="I130:I193" si="11">IF($H130="","",IF(UPPER(TRIM($H130))="YES","YES",IF($N130&gt;=BASIC_CAP,"NO","YES")))</f>
        <v/>
      </c>
      <c r="J130" s="67" t="str">
        <f t="shared" ref="J130:J193" si="12">IF($G130="","",IF($G130&lt;=ESIC_LIMIT,"YES","NO"))</f>
        <v/>
      </c>
      <c r="K130" s="67"/>
      <c r="L130" s="67"/>
      <c r="M130" s="67"/>
      <c r="N130" s="75"/>
      <c r="O130" s="75"/>
      <c r="P130" s="75"/>
      <c r="Q130" s="75"/>
      <c r="R130" s="75"/>
      <c r="S130" s="75"/>
      <c r="T130" s="75"/>
      <c r="U130" s="75"/>
      <c r="V130" s="75"/>
      <c r="W130" s="80"/>
      <c r="X130" s="75"/>
      <c r="Y130" s="75"/>
      <c r="Z130" s="75"/>
      <c r="AA130" s="75"/>
      <c r="AB130" s="75"/>
    </row>
    <row r="131" spans="1:28" x14ac:dyDescent="0.3">
      <c r="A131" s="67">
        <v>130</v>
      </c>
      <c r="B131" s="76"/>
      <c r="C131" s="76"/>
      <c r="D131" s="76"/>
      <c r="E131" s="71"/>
      <c r="F131" s="71"/>
      <c r="G131" s="80"/>
      <c r="H131" s="71"/>
      <c r="I131" s="67" t="str">
        <f t="shared" si="11"/>
        <v/>
      </c>
      <c r="J131" s="67" t="str">
        <f t="shared" si="12"/>
        <v/>
      </c>
      <c r="K131" s="67"/>
      <c r="L131" s="67"/>
      <c r="M131" s="67"/>
      <c r="N131" s="75"/>
      <c r="O131" s="75"/>
      <c r="P131" s="75"/>
      <c r="Q131" s="75"/>
      <c r="R131" s="75"/>
      <c r="S131" s="75"/>
      <c r="T131" s="75"/>
      <c r="U131" s="75"/>
      <c r="V131" s="75"/>
      <c r="W131" s="80"/>
      <c r="X131" s="75"/>
      <c r="Y131" s="75"/>
      <c r="Z131" s="75"/>
      <c r="AA131" s="75"/>
      <c r="AB131" s="75"/>
    </row>
    <row r="132" spans="1:28" x14ac:dyDescent="0.3">
      <c r="A132" s="67">
        <v>131</v>
      </c>
      <c r="B132" s="76"/>
      <c r="C132" s="76"/>
      <c r="D132" s="76"/>
      <c r="E132" s="71"/>
      <c r="F132" s="71"/>
      <c r="G132" s="80"/>
      <c r="H132" s="71"/>
      <c r="I132" s="67" t="str">
        <f t="shared" si="11"/>
        <v/>
      </c>
      <c r="J132" s="67" t="str">
        <f t="shared" si="12"/>
        <v/>
      </c>
      <c r="K132" s="67"/>
      <c r="L132" s="67"/>
      <c r="M132" s="67"/>
      <c r="N132" s="75"/>
      <c r="O132" s="75"/>
      <c r="P132" s="75"/>
      <c r="Q132" s="75"/>
      <c r="R132" s="75"/>
      <c r="S132" s="75"/>
      <c r="T132" s="75"/>
      <c r="U132" s="75"/>
      <c r="V132" s="75"/>
      <c r="W132" s="80"/>
      <c r="X132" s="75"/>
      <c r="Y132" s="75"/>
      <c r="Z132" s="75"/>
      <c r="AA132" s="75"/>
      <c r="AB132" s="75"/>
    </row>
    <row r="133" spans="1:28" x14ac:dyDescent="0.3">
      <c r="A133" s="67">
        <v>132</v>
      </c>
      <c r="B133" s="76"/>
      <c r="C133" s="76"/>
      <c r="D133" s="76"/>
      <c r="E133" s="71"/>
      <c r="F133" s="71"/>
      <c r="G133" s="80"/>
      <c r="H133" s="71"/>
      <c r="I133" s="67" t="str">
        <f t="shared" si="11"/>
        <v/>
      </c>
      <c r="J133" s="67" t="str">
        <f t="shared" si="12"/>
        <v/>
      </c>
      <c r="K133" s="67"/>
      <c r="L133" s="67"/>
      <c r="M133" s="67"/>
      <c r="N133" s="75"/>
      <c r="O133" s="75"/>
      <c r="P133" s="75"/>
      <c r="Q133" s="75"/>
      <c r="R133" s="75"/>
      <c r="S133" s="75"/>
      <c r="T133" s="75"/>
      <c r="U133" s="75"/>
      <c r="V133" s="75"/>
      <c r="W133" s="80"/>
      <c r="X133" s="75"/>
      <c r="Y133" s="75"/>
      <c r="Z133" s="75"/>
      <c r="AA133" s="75"/>
      <c r="AB133" s="75"/>
    </row>
    <row r="134" spans="1:28" x14ac:dyDescent="0.3">
      <c r="A134" s="67">
        <v>133</v>
      </c>
      <c r="B134" s="76"/>
      <c r="C134" s="76"/>
      <c r="D134" s="76"/>
      <c r="E134" s="71"/>
      <c r="F134" s="71"/>
      <c r="G134" s="80"/>
      <c r="H134" s="71"/>
      <c r="I134" s="67" t="str">
        <f t="shared" si="11"/>
        <v/>
      </c>
      <c r="J134" s="67" t="str">
        <f t="shared" si="12"/>
        <v/>
      </c>
      <c r="K134" s="67"/>
      <c r="L134" s="67"/>
      <c r="M134" s="67"/>
      <c r="N134" s="75"/>
      <c r="O134" s="75"/>
      <c r="P134" s="75"/>
      <c r="Q134" s="75"/>
      <c r="R134" s="75"/>
      <c r="S134" s="75"/>
      <c r="T134" s="75"/>
      <c r="U134" s="75"/>
      <c r="V134" s="75"/>
      <c r="W134" s="80"/>
      <c r="X134" s="75"/>
      <c r="Y134" s="75"/>
      <c r="Z134" s="75"/>
      <c r="AA134" s="75"/>
      <c r="AB134" s="75"/>
    </row>
    <row r="135" spans="1:28" x14ac:dyDescent="0.3">
      <c r="A135" s="67">
        <v>134</v>
      </c>
      <c r="B135" s="76"/>
      <c r="C135" s="76"/>
      <c r="D135" s="76"/>
      <c r="E135" s="71"/>
      <c r="F135" s="71"/>
      <c r="G135" s="80"/>
      <c r="H135" s="71"/>
      <c r="I135" s="67" t="str">
        <f t="shared" si="11"/>
        <v/>
      </c>
      <c r="J135" s="67" t="str">
        <f t="shared" si="12"/>
        <v/>
      </c>
      <c r="K135" s="67"/>
      <c r="L135" s="67"/>
      <c r="M135" s="67"/>
      <c r="N135" s="75"/>
      <c r="O135" s="75"/>
      <c r="P135" s="75"/>
      <c r="Q135" s="75"/>
      <c r="R135" s="75"/>
      <c r="S135" s="75"/>
      <c r="T135" s="75"/>
      <c r="U135" s="75"/>
      <c r="V135" s="75"/>
      <c r="W135" s="80"/>
      <c r="X135" s="75"/>
      <c r="Y135" s="75"/>
      <c r="Z135" s="75"/>
      <c r="AA135" s="75"/>
      <c r="AB135" s="75"/>
    </row>
    <row r="136" spans="1:28" x14ac:dyDescent="0.3">
      <c r="A136" s="67">
        <v>135</v>
      </c>
      <c r="B136" s="76"/>
      <c r="C136" s="76"/>
      <c r="D136" s="76"/>
      <c r="E136" s="71"/>
      <c r="F136" s="71"/>
      <c r="G136" s="80"/>
      <c r="H136" s="71"/>
      <c r="I136" s="67" t="str">
        <f t="shared" si="11"/>
        <v/>
      </c>
      <c r="J136" s="67" t="str">
        <f t="shared" si="12"/>
        <v/>
      </c>
      <c r="K136" s="67"/>
      <c r="L136" s="67"/>
      <c r="M136" s="67"/>
      <c r="N136" s="75"/>
      <c r="O136" s="75"/>
      <c r="P136" s="75"/>
      <c r="Q136" s="75"/>
      <c r="R136" s="75"/>
      <c r="S136" s="75"/>
      <c r="T136" s="75"/>
      <c r="U136" s="75"/>
      <c r="V136" s="75"/>
      <c r="W136" s="80"/>
      <c r="X136" s="75"/>
      <c r="Y136" s="75"/>
      <c r="Z136" s="75"/>
      <c r="AA136" s="75"/>
      <c r="AB136" s="75"/>
    </row>
    <row r="137" spans="1:28" x14ac:dyDescent="0.3">
      <c r="A137" s="67">
        <v>136</v>
      </c>
      <c r="B137" s="76"/>
      <c r="C137" s="76"/>
      <c r="D137" s="76"/>
      <c r="E137" s="71"/>
      <c r="F137" s="71"/>
      <c r="G137" s="80"/>
      <c r="H137" s="71"/>
      <c r="I137" s="67" t="str">
        <f t="shared" si="11"/>
        <v/>
      </c>
      <c r="J137" s="67" t="str">
        <f t="shared" si="12"/>
        <v/>
      </c>
      <c r="K137" s="67"/>
      <c r="L137" s="67"/>
      <c r="M137" s="67"/>
      <c r="N137" s="75"/>
      <c r="O137" s="75"/>
      <c r="P137" s="75"/>
      <c r="Q137" s="75"/>
      <c r="R137" s="75"/>
      <c r="S137" s="75"/>
      <c r="T137" s="75"/>
      <c r="U137" s="75"/>
      <c r="V137" s="75"/>
      <c r="W137" s="80"/>
      <c r="X137" s="75"/>
      <c r="Y137" s="75"/>
      <c r="Z137" s="75"/>
      <c r="AA137" s="75"/>
      <c r="AB137" s="75"/>
    </row>
    <row r="138" spans="1:28" x14ac:dyDescent="0.3">
      <c r="A138" s="67">
        <v>137</v>
      </c>
      <c r="B138" s="76"/>
      <c r="C138" s="76"/>
      <c r="D138" s="76"/>
      <c r="E138" s="71"/>
      <c r="F138" s="71"/>
      <c r="G138" s="80"/>
      <c r="H138" s="71"/>
      <c r="I138" s="67" t="str">
        <f t="shared" si="11"/>
        <v/>
      </c>
      <c r="J138" s="67" t="str">
        <f t="shared" si="12"/>
        <v/>
      </c>
      <c r="K138" s="67"/>
      <c r="L138" s="67"/>
      <c r="M138" s="67"/>
      <c r="N138" s="75"/>
      <c r="O138" s="75"/>
      <c r="P138" s="75"/>
      <c r="Q138" s="75"/>
      <c r="R138" s="75"/>
      <c r="S138" s="75"/>
      <c r="T138" s="75"/>
      <c r="U138" s="75"/>
      <c r="V138" s="75"/>
      <c r="W138" s="80"/>
      <c r="X138" s="75"/>
      <c r="Y138" s="75"/>
      <c r="Z138" s="75"/>
      <c r="AA138" s="75"/>
      <c r="AB138" s="75"/>
    </row>
    <row r="139" spans="1:28" x14ac:dyDescent="0.3">
      <c r="A139" s="67">
        <v>138</v>
      </c>
      <c r="B139" s="76"/>
      <c r="C139" s="76"/>
      <c r="D139" s="76"/>
      <c r="E139" s="71"/>
      <c r="F139" s="71"/>
      <c r="G139" s="80"/>
      <c r="H139" s="71"/>
      <c r="I139" s="67" t="str">
        <f t="shared" si="11"/>
        <v/>
      </c>
      <c r="J139" s="67" t="str">
        <f t="shared" si="12"/>
        <v/>
      </c>
      <c r="K139" s="67"/>
      <c r="L139" s="67"/>
      <c r="M139" s="67"/>
      <c r="N139" s="75"/>
      <c r="O139" s="75"/>
      <c r="P139" s="75"/>
      <c r="Q139" s="75"/>
      <c r="R139" s="75"/>
      <c r="S139" s="75"/>
      <c r="T139" s="75"/>
      <c r="U139" s="75"/>
      <c r="V139" s="75"/>
      <c r="W139" s="80"/>
      <c r="X139" s="75"/>
      <c r="Y139" s="75"/>
      <c r="Z139" s="75"/>
      <c r="AA139" s="75"/>
      <c r="AB139" s="75"/>
    </row>
    <row r="140" spans="1:28" x14ac:dyDescent="0.3">
      <c r="A140" s="67">
        <v>139</v>
      </c>
      <c r="B140" s="76"/>
      <c r="C140" s="76"/>
      <c r="D140" s="76"/>
      <c r="E140" s="71"/>
      <c r="F140" s="71"/>
      <c r="G140" s="80"/>
      <c r="H140" s="71"/>
      <c r="I140" s="67" t="str">
        <f t="shared" si="11"/>
        <v/>
      </c>
      <c r="J140" s="67" t="str">
        <f t="shared" si="12"/>
        <v/>
      </c>
      <c r="K140" s="67"/>
      <c r="L140" s="67"/>
      <c r="M140" s="67"/>
      <c r="N140" s="75"/>
      <c r="O140" s="75"/>
      <c r="P140" s="75"/>
      <c r="Q140" s="75"/>
      <c r="R140" s="75"/>
      <c r="S140" s="75"/>
      <c r="T140" s="75"/>
      <c r="U140" s="75"/>
      <c r="V140" s="75"/>
      <c r="W140" s="80"/>
      <c r="X140" s="75"/>
      <c r="Y140" s="75"/>
      <c r="Z140" s="75"/>
      <c r="AA140" s="75"/>
      <c r="AB140" s="75"/>
    </row>
    <row r="141" spans="1:28" x14ac:dyDescent="0.3">
      <c r="A141" s="67">
        <v>140</v>
      </c>
      <c r="B141" s="76"/>
      <c r="C141" s="76"/>
      <c r="D141" s="76"/>
      <c r="E141" s="71"/>
      <c r="F141" s="71"/>
      <c r="G141" s="80"/>
      <c r="H141" s="71"/>
      <c r="I141" s="67" t="str">
        <f t="shared" si="11"/>
        <v/>
      </c>
      <c r="J141" s="67" t="str">
        <f t="shared" si="12"/>
        <v/>
      </c>
      <c r="K141" s="67"/>
      <c r="L141" s="67"/>
      <c r="M141" s="67"/>
      <c r="N141" s="75"/>
      <c r="O141" s="75"/>
      <c r="P141" s="75"/>
      <c r="Q141" s="75"/>
      <c r="R141" s="75"/>
      <c r="S141" s="75"/>
      <c r="T141" s="75"/>
      <c r="U141" s="75"/>
      <c r="V141" s="75"/>
      <c r="W141" s="80"/>
      <c r="X141" s="75"/>
      <c r="Y141" s="75"/>
      <c r="Z141" s="75"/>
      <c r="AA141" s="75"/>
      <c r="AB141" s="75"/>
    </row>
    <row r="142" spans="1:28" x14ac:dyDescent="0.3">
      <c r="A142" s="67">
        <v>141</v>
      </c>
      <c r="B142" s="76"/>
      <c r="C142" s="76"/>
      <c r="D142" s="76"/>
      <c r="E142" s="71"/>
      <c r="F142" s="71"/>
      <c r="G142" s="80"/>
      <c r="H142" s="71"/>
      <c r="I142" s="67" t="str">
        <f t="shared" si="11"/>
        <v/>
      </c>
      <c r="J142" s="67" t="str">
        <f t="shared" si="12"/>
        <v/>
      </c>
      <c r="K142" s="67"/>
      <c r="L142" s="67"/>
      <c r="M142" s="67"/>
      <c r="N142" s="75"/>
      <c r="O142" s="75"/>
      <c r="P142" s="75"/>
      <c r="Q142" s="75"/>
      <c r="R142" s="75"/>
      <c r="S142" s="75"/>
      <c r="T142" s="75"/>
      <c r="U142" s="75"/>
      <c r="V142" s="75"/>
      <c r="W142" s="80"/>
      <c r="X142" s="75"/>
      <c r="Y142" s="75"/>
      <c r="Z142" s="75"/>
      <c r="AA142" s="75"/>
      <c r="AB142" s="75"/>
    </row>
    <row r="143" spans="1:28" x14ac:dyDescent="0.3">
      <c r="A143" s="67">
        <v>142</v>
      </c>
      <c r="B143" s="76"/>
      <c r="C143" s="76"/>
      <c r="D143" s="76"/>
      <c r="E143" s="71"/>
      <c r="F143" s="71"/>
      <c r="G143" s="80"/>
      <c r="H143" s="71"/>
      <c r="I143" s="67" t="str">
        <f t="shared" si="11"/>
        <v/>
      </c>
      <c r="J143" s="67" t="str">
        <f t="shared" si="12"/>
        <v/>
      </c>
      <c r="K143" s="67"/>
      <c r="L143" s="67"/>
      <c r="M143" s="67"/>
      <c r="N143" s="75"/>
      <c r="O143" s="75"/>
      <c r="P143" s="75"/>
      <c r="Q143" s="75"/>
      <c r="R143" s="75"/>
      <c r="S143" s="75"/>
      <c r="T143" s="75"/>
      <c r="U143" s="75"/>
      <c r="V143" s="75"/>
      <c r="W143" s="80"/>
      <c r="X143" s="75"/>
      <c r="Y143" s="75"/>
      <c r="Z143" s="75"/>
      <c r="AA143" s="75"/>
      <c r="AB143" s="75"/>
    </row>
    <row r="144" spans="1:28" x14ac:dyDescent="0.3">
      <c r="A144" s="67">
        <v>143</v>
      </c>
      <c r="B144" s="76"/>
      <c r="C144" s="76"/>
      <c r="D144" s="76"/>
      <c r="E144" s="71"/>
      <c r="F144" s="71"/>
      <c r="G144" s="80"/>
      <c r="H144" s="71"/>
      <c r="I144" s="67" t="str">
        <f t="shared" si="11"/>
        <v/>
      </c>
      <c r="J144" s="67" t="str">
        <f t="shared" si="12"/>
        <v/>
      </c>
      <c r="K144" s="67"/>
      <c r="L144" s="67"/>
      <c r="M144" s="67"/>
      <c r="N144" s="75"/>
      <c r="O144" s="75"/>
      <c r="P144" s="75"/>
      <c r="Q144" s="75"/>
      <c r="R144" s="75"/>
      <c r="S144" s="75"/>
      <c r="T144" s="75"/>
      <c r="U144" s="75"/>
      <c r="V144" s="75"/>
      <c r="W144" s="80"/>
      <c r="X144" s="75"/>
      <c r="Y144" s="75"/>
      <c r="Z144" s="75"/>
      <c r="AA144" s="75"/>
      <c r="AB144" s="75"/>
    </row>
    <row r="145" spans="1:28" x14ac:dyDescent="0.3">
      <c r="A145" s="67">
        <v>144</v>
      </c>
      <c r="B145" s="76"/>
      <c r="C145" s="76"/>
      <c r="D145" s="76"/>
      <c r="E145" s="71"/>
      <c r="F145" s="71"/>
      <c r="G145" s="80"/>
      <c r="H145" s="71"/>
      <c r="I145" s="67" t="str">
        <f t="shared" si="11"/>
        <v/>
      </c>
      <c r="J145" s="67" t="str">
        <f t="shared" si="12"/>
        <v/>
      </c>
      <c r="K145" s="67"/>
      <c r="L145" s="67"/>
      <c r="M145" s="67"/>
      <c r="N145" s="75"/>
      <c r="O145" s="75"/>
      <c r="P145" s="75"/>
      <c r="Q145" s="75"/>
      <c r="R145" s="75"/>
      <c r="S145" s="75"/>
      <c r="T145" s="75"/>
      <c r="U145" s="75"/>
      <c r="V145" s="75"/>
      <c r="W145" s="80"/>
      <c r="X145" s="75"/>
      <c r="Y145" s="75"/>
      <c r="Z145" s="75"/>
      <c r="AA145" s="75"/>
      <c r="AB145" s="75"/>
    </row>
    <row r="146" spans="1:28" x14ac:dyDescent="0.3">
      <c r="A146" s="67">
        <v>145</v>
      </c>
      <c r="B146" s="76"/>
      <c r="C146" s="76"/>
      <c r="D146" s="76"/>
      <c r="E146" s="71"/>
      <c r="F146" s="71"/>
      <c r="G146" s="80"/>
      <c r="H146" s="71"/>
      <c r="I146" s="67" t="str">
        <f t="shared" si="11"/>
        <v/>
      </c>
      <c r="J146" s="67" t="str">
        <f t="shared" si="12"/>
        <v/>
      </c>
      <c r="K146" s="67"/>
      <c r="L146" s="67"/>
      <c r="M146" s="67"/>
      <c r="N146" s="75"/>
      <c r="O146" s="75"/>
      <c r="P146" s="75"/>
      <c r="Q146" s="75"/>
      <c r="R146" s="75"/>
      <c r="S146" s="75"/>
      <c r="T146" s="75"/>
      <c r="U146" s="75"/>
      <c r="V146" s="75"/>
      <c r="W146" s="80"/>
      <c r="X146" s="75"/>
      <c r="Y146" s="75"/>
      <c r="Z146" s="75"/>
      <c r="AA146" s="75"/>
      <c r="AB146" s="75"/>
    </row>
    <row r="147" spans="1:28" x14ac:dyDescent="0.3">
      <c r="A147" s="67">
        <v>146</v>
      </c>
      <c r="B147" s="76"/>
      <c r="C147" s="76"/>
      <c r="D147" s="76"/>
      <c r="E147" s="71"/>
      <c r="F147" s="71"/>
      <c r="G147" s="80"/>
      <c r="H147" s="71"/>
      <c r="I147" s="67" t="str">
        <f t="shared" si="11"/>
        <v/>
      </c>
      <c r="J147" s="67" t="str">
        <f t="shared" si="12"/>
        <v/>
      </c>
      <c r="K147" s="67"/>
      <c r="L147" s="67"/>
      <c r="M147" s="67"/>
      <c r="N147" s="75"/>
      <c r="O147" s="75"/>
      <c r="P147" s="75"/>
      <c r="Q147" s="75"/>
      <c r="R147" s="75"/>
      <c r="S147" s="75"/>
      <c r="T147" s="75"/>
      <c r="U147" s="75"/>
      <c r="V147" s="75"/>
      <c r="W147" s="80"/>
      <c r="X147" s="75"/>
      <c r="Y147" s="75"/>
      <c r="Z147" s="75"/>
      <c r="AA147" s="75"/>
      <c r="AB147" s="75"/>
    </row>
    <row r="148" spans="1:28" x14ac:dyDescent="0.3">
      <c r="A148" s="67">
        <v>147</v>
      </c>
      <c r="B148" s="76"/>
      <c r="C148" s="76"/>
      <c r="D148" s="76"/>
      <c r="E148" s="71"/>
      <c r="F148" s="71"/>
      <c r="G148" s="80"/>
      <c r="H148" s="71"/>
      <c r="I148" s="67" t="str">
        <f t="shared" si="11"/>
        <v/>
      </c>
      <c r="J148" s="67" t="str">
        <f t="shared" si="12"/>
        <v/>
      </c>
      <c r="K148" s="67"/>
      <c r="L148" s="67"/>
      <c r="M148" s="67"/>
      <c r="N148" s="75"/>
      <c r="O148" s="75"/>
      <c r="P148" s="75"/>
      <c r="Q148" s="75"/>
      <c r="R148" s="75"/>
      <c r="S148" s="75"/>
      <c r="T148" s="75"/>
      <c r="U148" s="75"/>
      <c r="V148" s="75"/>
      <c r="W148" s="80"/>
      <c r="X148" s="75"/>
      <c r="Y148" s="75"/>
      <c r="Z148" s="75"/>
      <c r="AA148" s="75"/>
      <c r="AB148" s="75"/>
    </row>
    <row r="149" spans="1:28" x14ac:dyDescent="0.3">
      <c r="A149" s="67">
        <v>148</v>
      </c>
      <c r="B149" s="76"/>
      <c r="C149" s="76"/>
      <c r="D149" s="76"/>
      <c r="E149" s="71"/>
      <c r="F149" s="71"/>
      <c r="G149" s="80"/>
      <c r="H149" s="71"/>
      <c r="I149" s="67" t="str">
        <f t="shared" si="11"/>
        <v/>
      </c>
      <c r="J149" s="67" t="str">
        <f t="shared" si="12"/>
        <v/>
      </c>
      <c r="K149" s="67"/>
      <c r="L149" s="67"/>
      <c r="M149" s="67"/>
      <c r="N149" s="75"/>
      <c r="O149" s="75"/>
      <c r="P149" s="75"/>
      <c r="Q149" s="75"/>
      <c r="R149" s="75"/>
      <c r="S149" s="75"/>
      <c r="T149" s="75"/>
      <c r="U149" s="75"/>
      <c r="V149" s="75"/>
      <c r="W149" s="80"/>
      <c r="X149" s="75"/>
      <c r="Y149" s="75"/>
      <c r="Z149" s="75"/>
      <c r="AA149" s="75"/>
      <c r="AB149" s="75"/>
    </row>
    <row r="150" spans="1:28" x14ac:dyDescent="0.3">
      <c r="A150" s="67">
        <v>149</v>
      </c>
      <c r="B150" s="76"/>
      <c r="C150" s="76"/>
      <c r="D150" s="76"/>
      <c r="E150" s="71"/>
      <c r="F150" s="71"/>
      <c r="G150" s="80"/>
      <c r="H150" s="71"/>
      <c r="I150" s="67" t="str">
        <f t="shared" si="11"/>
        <v/>
      </c>
      <c r="J150" s="67" t="str">
        <f t="shared" si="12"/>
        <v/>
      </c>
      <c r="K150" s="67"/>
      <c r="L150" s="67"/>
      <c r="M150" s="67"/>
      <c r="N150" s="75"/>
      <c r="O150" s="75"/>
      <c r="P150" s="75"/>
      <c r="Q150" s="75"/>
      <c r="R150" s="75"/>
      <c r="S150" s="75"/>
      <c r="T150" s="75"/>
      <c r="U150" s="75"/>
      <c r="V150" s="75"/>
      <c r="W150" s="80"/>
      <c r="X150" s="75"/>
      <c r="Y150" s="75"/>
      <c r="Z150" s="75"/>
      <c r="AA150" s="75"/>
      <c r="AB150" s="75"/>
    </row>
    <row r="151" spans="1:28" x14ac:dyDescent="0.3">
      <c r="A151" s="67">
        <v>150</v>
      </c>
      <c r="B151" s="76"/>
      <c r="C151" s="76"/>
      <c r="D151" s="76"/>
      <c r="E151" s="71"/>
      <c r="F151" s="71"/>
      <c r="G151" s="80"/>
      <c r="H151" s="71"/>
      <c r="I151" s="67" t="str">
        <f t="shared" si="11"/>
        <v/>
      </c>
      <c r="J151" s="67" t="str">
        <f t="shared" si="12"/>
        <v/>
      </c>
      <c r="K151" s="67"/>
      <c r="L151" s="67"/>
      <c r="M151" s="67"/>
      <c r="N151" s="75"/>
      <c r="O151" s="75"/>
      <c r="P151" s="75"/>
      <c r="Q151" s="75"/>
      <c r="R151" s="75"/>
      <c r="S151" s="75"/>
      <c r="T151" s="75"/>
      <c r="U151" s="75"/>
      <c r="V151" s="75"/>
      <c r="W151" s="80"/>
      <c r="X151" s="75"/>
      <c r="Y151" s="75"/>
      <c r="Z151" s="75"/>
      <c r="AA151" s="75"/>
      <c r="AB151" s="75"/>
    </row>
    <row r="152" spans="1:28" x14ac:dyDescent="0.3">
      <c r="A152" s="67">
        <v>151</v>
      </c>
      <c r="B152" s="76"/>
      <c r="C152" s="76"/>
      <c r="D152" s="76"/>
      <c r="E152" s="71"/>
      <c r="F152" s="71"/>
      <c r="G152" s="80"/>
      <c r="H152" s="71"/>
      <c r="I152" s="67" t="str">
        <f t="shared" si="11"/>
        <v/>
      </c>
      <c r="J152" s="67" t="str">
        <f t="shared" si="12"/>
        <v/>
      </c>
      <c r="K152" s="67"/>
      <c r="L152" s="67"/>
      <c r="M152" s="67"/>
      <c r="N152" s="75"/>
      <c r="O152" s="75"/>
      <c r="P152" s="75"/>
      <c r="Q152" s="75"/>
      <c r="R152" s="75"/>
      <c r="S152" s="75"/>
      <c r="T152" s="75"/>
      <c r="U152" s="75"/>
      <c r="V152" s="75"/>
      <c r="W152" s="80"/>
      <c r="X152" s="75"/>
      <c r="Y152" s="75"/>
      <c r="Z152" s="75"/>
      <c r="AA152" s="75"/>
      <c r="AB152" s="75"/>
    </row>
    <row r="153" spans="1:28" x14ac:dyDescent="0.3">
      <c r="A153" s="67">
        <v>152</v>
      </c>
      <c r="B153" s="76"/>
      <c r="C153" s="76"/>
      <c r="D153" s="76"/>
      <c r="E153" s="71"/>
      <c r="F153" s="71"/>
      <c r="G153" s="80"/>
      <c r="H153" s="71"/>
      <c r="I153" s="67" t="str">
        <f t="shared" si="11"/>
        <v/>
      </c>
      <c r="J153" s="67" t="str">
        <f t="shared" si="12"/>
        <v/>
      </c>
      <c r="K153" s="67"/>
      <c r="L153" s="67"/>
      <c r="M153" s="67"/>
      <c r="N153" s="75"/>
      <c r="O153" s="75"/>
      <c r="P153" s="75"/>
      <c r="Q153" s="75"/>
      <c r="R153" s="75"/>
      <c r="S153" s="75"/>
      <c r="T153" s="75"/>
      <c r="U153" s="75"/>
      <c r="V153" s="75"/>
      <c r="W153" s="80"/>
      <c r="X153" s="75"/>
      <c r="Y153" s="75"/>
      <c r="Z153" s="75"/>
      <c r="AA153" s="75"/>
      <c r="AB153" s="75"/>
    </row>
    <row r="154" spans="1:28" x14ac:dyDescent="0.3">
      <c r="A154" s="67">
        <v>153</v>
      </c>
      <c r="B154" s="76"/>
      <c r="C154" s="76"/>
      <c r="D154" s="76"/>
      <c r="E154" s="71"/>
      <c r="F154" s="71"/>
      <c r="G154" s="80"/>
      <c r="H154" s="71"/>
      <c r="I154" s="67" t="str">
        <f t="shared" si="11"/>
        <v/>
      </c>
      <c r="J154" s="67" t="str">
        <f t="shared" si="12"/>
        <v/>
      </c>
      <c r="K154" s="67"/>
      <c r="L154" s="67"/>
      <c r="M154" s="67"/>
      <c r="N154" s="75"/>
      <c r="O154" s="75"/>
      <c r="P154" s="75"/>
      <c r="Q154" s="75"/>
      <c r="R154" s="75"/>
      <c r="S154" s="75"/>
      <c r="T154" s="75"/>
      <c r="U154" s="75"/>
      <c r="V154" s="75"/>
      <c r="W154" s="80"/>
      <c r="X154" s="75"/>
      <c r="Y154" s="75"/>
      <c r="Z154" s="75"/>
      <c r="AA154" s="75"/>
      <c r="AB154" s="75"/>
    </row>
    <row r="155" spans="1:28" x14ac:dyDescent="0.3">
      <c r="A155" s="67">
        <v>154</v>
      </c>
      <c r="B155" s="76"/>
      <c r="C155" s="76"/>
      <c r="D155" s="76"/>
      <c r="E155" s="71"/>
      <c r="F155" s="71"/>
      <c r="G155" s="80"/>
      <c r="H155" s="71"/>
      <c r="I155" s="67" t="str">
        <f t="shared" si="11"/>
        <v/>
      </c>
      <c r="J155" s="67" t="str">
        <f t="shared" si="12"/>
        <v/>
      </c>
      <c r="K155" s="67"/>
      <c r="L155" s="67"/>
      <c r="M155" s="67"/>
      <c r="N155" s="75"/>
      <c r="O155" s="75"/>
      <c r="P155" s="75"/>
      <c r="Q155" s="75"/>
      <c r="R155" s="75"/>
      <c r="S155" s="75"/>
      <c r="T155" s="75"/>
      <c r="U155" s="75"/>
      <c r="V155" s="75"/>
      <c r="W155" s="80"/>
      <c r="X155" s="75"/>
      <c r="Y155" s="75"/>
      <c r="Z155" s="75"/>
      <c r="AA155" s="75"/>
      <c r="AB155" s="75"/>
    </row>
    <row r="156" spans="1:28" x14ac:dyDescent="0.3">
      <c r="A156" s="67">
        <v>155</v>
      </c>
      <c r="B156" s="76"/>
      <c r="C156" s="76"/>
      <c r="D156" s="76"/>
      <c r="E156" s="71"/>
      <c r="F156" s="71"/>
      <c r="G156" s="80"/>
      <c r="H156" s="71"/>
      <c r="I156" s="67" t="str">
        <f t="shared" si="11"/>
        <v/>
      </c>
      <c r="J156" s="67" t="str">
        <f t="shared" si="12"/>
        <v/>
      </c>
      <c r="K156" s="67"/>
      <c r="L156" s="67"/>
      <c r="M156" s="67"/>
      <c r="N156" s="75"/>
      <c r="O156" s="75"/>
      <c r="P156" s="75"/>
      <c r="Q156" s="75"/>
      <c r="R156" s="75"/>
      <c r="S156" s="75"/>
      <c r="T156" s="75"/>
      <c r="U156" s="75"/>
      <c r="V156" s="75"/>
      <c r="W156" s="80"/>
      <c r="X156" s="75"/>
      <c r="Y156" s="75"/>
      <c r="Z156" s="75"/>
      <c r="AA156" s="75"/>
      <c r="AB156" s="75"/>
    </row>
    <row r="157" spans="1:28" x14ac:dyDescent="0.3">
      <c r="A157" s="67">
        <v>156</v>
      </c>
      <c r="B157" s="76"/>
      <c r="C157" s="76"/>
      <c r="D157" s="76"/>
      <c r="E157" s="71"/>
      <c r="F157" s="71"/>
      <c r="G157" s="80"/>
      <c r="H157" s="71"/>
      <c r="I157" s="67" t="str">
        <f t="shared" si="11"/>
        <v/>
      </c>
      <c r="J157" s="67" t="str">
        <f t="shared" si="12"/>
        <v/>
      </c>
      <c r="K157" s="67"/>
      <c r="L157" s="67"/>
      <c r="M157" s="67"/>
      <c r="N157" s="75"/>
      <c r="O157" s="75"/>
      <c r="P157" s="75"/>
      <c r="Q157" s="75"/>
      <c r="R157" s="75"/>
      <c r="S157" s="75"/>
      <c r="T157" s="75"/>
      <c r="U157" s="75"/>
      <c r="V157" s="75"/>
      <c r="W157" s="80"/>
      <c r="X157" s="75"/>
      <c r="Y157" s="75"/>
      <c r="Z157" s="75"/>
      <c r="AA157" s="75"/>
      <c r="AB157" s="75"/>
    </row>
    <row r="158" spans="1:28" x14ac:dyDescent="0.3">
      <c r="A158" s="67">
        <v>157</v>
      </c>
      <c r="B158" s="76"/>
      <c r="C158" s="76"/>
      <c r="D158" s="76"/>
      <c r="E158" s="71"/>
      <c r="F158" s="71"/>
      <c r="G158" s="80"/>
      <c r="H158" s="71"/>
      <c r="I158" s="67" t="str">
        <f t="shared" si="11"/>
        <v/>
      </c>
      <c r="J158" s="67" t="str">
        <f t="shared" si="12"/>
        <v/>
      </c>
      <c r="K158" s="67"/>
      <c r="L158" s="67"/>
      <c r="M158" s="67"/>
      <c r="N158" s="75"/>
      <c r="O158" s="75"/>
      <c r="P158" s="75"/>
      <c r="Q158" s="75"/>
      <c r="R158" s="75"/>
      <c r="S158" s="75"/>
      <c r="T158" s="75"/>
      <c r="U158" s="75"/>
      <c r="V158" s="75"/>
      <c r="W158" s="80"/>
      <c r="X158" s="75"/>
      <c r="Y158" s="75"/>
      <c r="Z158" s="75"/>
      <c r="AA158" s="75"/>
      <c r="AB158" s="75"/>
    </row>
    <row r="159" spans="1:28" x14ac:dyDescent="0.3">
      <c r="A159" s="67">
        <v>158</v>
      </c>
      <c r="B159" s="76"/>
      <c r="C159" s="76"/>
      <c r="D159" s="76"/>
      <c r="E159" s="71"/>
      <c r="F159" s="71"/>
      <c r="G159" s="80"/>
      <c r="H159" s="71"/>
      <c r="I159" s="67" t="str">
        <f t="shared" si="11"/>
        <v/>
      </c>
      <c r="J159" s="67" t="str">
        <f t="shared" si="12"/>
        <v/>
      </c>
      <c r="K159" s="67"/>
      <c r="L159" s="67"/>
      <c r="M159" s="67"/>
      <c r="N159" s="75"/>
      <c r="O159" s="75"/>
      <c r="P159" s="75"/>
      <c r="Q159" s="75"/>
      <c r="R159" s="75"/>
      <c r="S159" s="75"/>
      <c r="T159" s="75"/>
      <c r="U159" s="75"/>
      <c r="V159" s="75"/>
      <c r="W159" s="80"/>
      <c r="X159" s="75"/>
      <c r="Y159" s="75"/>
      <c r="Z159" s="75"/>
      <c r="AA159" s="75"/>
      <c r="AB159" s="75"/>
    </row>
    <row r="160" spans="1:28" x14ac:dyDescent="0.3">
      <c r="A160" s="67">
        <v>159</v>
      </c>
      <c r="B160" s="76"/>
      <c r="C160" s="76"/>
      <c r="D160" s="76"/>
      <c r="E160" s="71"/>
      <c r="F160" s="71"/>
      <c r="G160" s="80"/>
      <c r="H160" s="71"/>
      <c r="I160" s="67" t="str">
        <f t="shared" si="11"/>
        <v/>
      </c>
      <c r="J160" s="67" t="str">
        <f t="shared" si="12"/>
        <v/>
      </c>
      <c r="K160" s="67"/>
      <c r="L160" s="67"/>
      <c r="M160" s="67"/>
      <c r="N160" s="75"/>
      <c r="O160" s="75"/>
      <c r="P160" s="75"/>
      <c r="Q160" s="75"/>
      <c r="R160" s="75"/>
      <c r="S160" s="75"/>
      <c r="T160" s="75"/>
      <c r="U160" s="75"/>
      <c r="V160" s="75"/>
      <c r="W160" s="80"/>
      <c r="X160" s="75"/>
      <c r="Y160" s="75"/>
      <c r="Z160" s="75"/>
      <c r="AA160" s="75"/>
      <c r="AB160" s="75"/>
    </row>
    <row r="161" spans="1:28" x14ac:dyDescent="0.3">
      <c r="A161" s="67">
        <v>160</v>
      </c>
      <c r="B161" s="76"/>
      <c r="C161" s="76"/>
      <c r="D161" s="76"/>
      <c r="E161" s="71"/>
      <c r="F161" s="71"/>
      <c r="G161" s="80"/>
      <c r="H161" s="71"/>
      <c r="I161" s="67" t="str">
        <f t="shared" si="11"/>
        <v/>
      </c>
      <c r="J161" s="67" t="str">
        <f t="shared" si="12"/>
        <v/>
      </c>
      <c r="K161" s="67"/>
      <c r="L161" s="67"/>
      <c r="M161" s="67"/>
      <c r="N161" s="75"/>
      <c r="O161" s="75"/>
      <c r="P161" s="75"/>
      <c r="Q161" s="75"/>
      <c r="R161" s="75"/>
      <c r="S161" s="75"/>
      <c r="T161" s="75"/>
      <c r="U161" s="75"/>
      <c r="V161" s="75"/>
      <c r="W161" s="80"/>
      <c r="X161" s="75"/>
      <c r="Y161" s="75"/>
      <c r="Z161" s="75"/>
      <c r="AA161" s="75"/>
      <c r="AB161" s="75"/>
    </row>
    <row r="162" spans="1:28" x14ac:dyDescent="0.3">
      <c r="A162" s="67">
        <v>161</v>
      </c>
      <c r="B162" s="76"/>
      <c r="C162" s="76"/>
      <c r="D162" s="76"/>
      <c r="E162" s="71"/>
      <c r="F162" s="71"/>
      <c r="G162" s="80"/>
      <c r="H162" s="71"/>
      <c r="I162" s="67" t="str">
        <f t="shared" si="11"/>
        <v/>
      </c>
      <c r="J162" s="67" t="str">
        <f t="shared" si="12"/>
        <v/>
      </c>
      <c r="K162" s="67"/>
      <c r="L162" s="67"/>
      <c r="M162" s="67"/>
      <c r="N162" s="75"/>
      <c r="O162" s="75"/>
      <c r="P162" s="75"/>
      <c r="Q162" s="75"/>
      <c r="R162" s="75"/>
      <c r="S162" s="75"/>
      <c r="T162" s="75"/>
      <c r="U162" s="75"/>
      <c r="V162" s="75"/>
      <c r="W162" s="80"/>
      <c r="X162" s="75"/>
      <c r="Y162" s="75"/>
      <c r="Z162" s="75"/>
      <c r="AA162" s="75"/>
      <c r="AB162" s="75"/>
    </row>
    <row r="163" spans="1:28" x14ac:dyDescent="0.3">
      <c r="A163" s="67">
        <v>162</v>
      </c>
      <c r="B163" s="76"/>
      <c r="C163" s="76"/>
      <c r="D163" s="76"/>
      <c r="E163" s="71"/>
      <c r="F163" s="71"/>
      <c r="G163" s="80"/>
      <c r="H163" s="71"/>
      <c r="I163" s="67" t="str">
        <f t="shared" si="11"/>
        <v/>
      </c>
      <c r="J163" s="67" t="str">
        <f t="shared" si="12"/>
        <v/>
      </c>
      <c r="K163" s="67"/>
      <c r="L163" s="67"/>
      <c r="M163" s="67"/>
      <c r="N163" s="75"/>
      <c r="O163" s="75"/>
      <c r="P163" s="75"/>
      <c r="Q163" s="75"/>
      <c r="R163" s="75"/>
      <c r="S163" s="75"/>
      <c r="T163" s="75"/>
      <c r="U163" s="75"/>
      <c r="V163" s="75"/>
      <c r="W163" s="80"/>
      <c r="X163" s="75"/>
      <c r="Y163" s="75"/>
      <c r="Z163" s="75"/>
      <c r="AA163" s="75"/>
      <c r="AB163" s="75"/>
    </row>
    <row r="164" spans="1:28" x14ac:dyDescent="0.3">
      <c r="A164" s="67">
        <v>163</v>
      </c>
      <c r="B164" s="76"/>
      <c r="C164" s="76"/>
      <c r="D164" s="76"/>
      <c r="E164" s="71"/>
      <c r="F164" s="71"/>
      <c r="G164" s="80"/>
      <c r="H164" s="71"/>
      <c r="I164" s="67" t="str">
        <f t="shared" si="11"/>
        <v/>
      </c>
      <c r="J164" s="67" t="str">
        <f t="shared" si="12"/>
        <v/>
      </c>
      <c r="K164" s="67"/>
      <c r="L164" s="67"/>
      <c r="M164" s="67"/>
      <c r="N164" s="75"/>
      <c r="O164" s="75"/>
      <c r="P164" s="75"/>
      <c r="Q164" s="75"/>
      <c r="R164" s="75"/>
      <c r="S164" s="75"/>
      <c r="T164" s="75"/>
      <c r="U164" s="75"/>
      <c r="V164" s="75"/>
      <c r="W164" s="80"/>
      <c r="X164" s="75"/>
      <c r="Y164" s="75"/>
      <c r="Z164" s="75"/>
      <c r="AA164" s="75"/>
      <c r="AB164" s="75"/>
    </row>
    <row r="165" spans="1:28" x14ac:dyDescent="0.3">
      <c r="A165" s="67">
        <v>164</v>
      </c>
      <c r="B165" s="76"/>
      <c r="C165" s="76"/>
      <c r="D165" s="76"/>
      <c r="E165" s="71"/>
      <c r="F165" s="71"/>
      <c r="G165" s="80"/>
      <c r="H165" s="71"/>
      <c r="I165" s="67" t="str">
        <f t="shared" si="11"/>
        <v/>
      </c>
      <c r="J165" s="67" t="str">
        <f t="shared" si="12"/>
        <v/>
      </c>
      <c r="K165" s="67"/>
      <c r="L165" s="67"/>
      <c r="M165" s="67"/>
      <c r="N165" s="75"/>
      <c r="O165" s="75"/>
      <c r="P165" s="75"/>
      <c r="Q165" s="75"/>
      <c r="R165" s="75"/>
      <c r="S165" s="75"/>
      <c r="T165" s="75"/>
      <c r="U165" s="75"/>
      <c r="V165" s="75"/>
      <c r="W165" s="80"/>
      <c r="X165" s="75"/>
      <c r="Y165" s="75"/>
      <c r="Z165" s="75"/>
      <c r="AA165" s="75"/>
      <c r="AB165" s="75"/>
    </row>
    <row r="166" spans="1:28" x14ac:dyDescent="0.3">
      <c r="A166" s="67">
        <v>165</v>
      </c>
      <c r="B166" s="76"/>
      <c r="C166" s="76"/>
      <c r="D166" s="76"/>
      <c r="E166" s="71"/>
      <c r="F166" s="71"/>
      <c r="G166" s="80"/>
      <c r="H166" s="71"/>
      <c r="I166" s="67" t="str">
        <f t="shared" si="11"/>
        <v/>
      </c>
      <c r="J166" s="67" t="str">
        <f t="shared" si="12"/>
        <v/>
      </c>
      <c r="K166" s="67"/>
      <c r="L166" s="67"/>
      <c r="M166" s="67"/>
      <c r="N166" s="75"/>
      <c r="O166" s="75"/>
      <c r="P166" s="75"/>
      <c r="Q166" s="75"/>
      <c r="R166" s="75"/>
      <c r="S166" s="75"/>
      <c r="T166" s="75"/>
      <c r="U166" s="75"/>
      <c r="V166" s="75"/>
      <c r="W166" s="80"/>
      <c r="X166" s="75"/>
      <c r="Y166" s="75"/>
      <c r="Z166" s="75"/>
      <c r="AA166" s="75"/>
      <c r="AB166" s="75"/>
    </row>
    <row r="167" spans="1:28" x14ac:dyDescent="0.3">
      <c r="A167" s="67">
        <v>166</v>
      </c>
      <c r="B167" s="76"/>
      <c r="C167" s="76"/>
      <c r="D167" s="76"/>
      <c r="E167" s="71"/>
      <c r="F167" s="71"/>
      <c r="G167" s="80"/>
      <c r="H167" s="71"/>
      <c r="I167" s="67" t="str">
        <f t="shared" si="11"/>
        <v/>
      </c>
      <c r="J167" s="67" t="str">
        <f t="shared" si="12"/>
        <v/>
      </c>
      <c r="K167" s="67"/>
      <c r="L167" s="67"/>
      <c r="M167" s="67"/>
      <c r="N167" s="75"/>
      <c r="O167" s="75"/>
      <c r="P167" s="75"/>
      <c r="Q167" s="75"/>
      <c r="R167" s="75"/>
      <c r="S167" s="75"/>
      <c r="T167" s="75"/>
      <c r="U167" s="75"/>
      <c r="V167" s="75"/>
      <c r="W167" s="80"/>
      <c r="X167" s="75"/>
      <c r="Y167" s="75"/>
      <c r="Z167" s="75"/>
      <c r="AA167" s="75"/>
      <c r="AB167" s="75"/>
    </row>
    <row r="168" spans="1:28" x14ac:dyDescent="0.3">
      <c r="A168" s="67">
        <v>167</v>
      </c>
      <c r="B168" s="76"/>
      <c r="C168" s="76"/>
      <c r="D168" s="76"/>
      <c r="E168" s="71"/>
      <c r="F168" s="71"/>
      <c r="G168" s="80"/>
      <c r="H168" s="71"/>
      <c r="I168" s="67" t="str">
        <f t="shared" si="11"/>
        <v/>
      </c>
      <c r="J168" s="67" t="str">
        <f t="shared" si="12"/>
        <v/>
      </c>
      <c r="K168" s="67"/>
      <c r="L168" s="67"/>
      <c r="M168" s="67"/>
      <c r="N168" s="75"/>
      <c r="O168" s="75"/>
      <c r="P168" s="75"/>
      <c r="Q168" s="75"/>
      <c r="R168" s="75"/>
      <c r="S168" s="75"/>
      <c r="T168" s="75"/>
      <c r="U168" s="75"/>
      <c r="V168" s="75"/>
      <c r="W168" s="80"/>
      <c r="X168" s="75"/>
      <c r="Y168" s="75"/>
      <c r="Z168" s="75"/>
      <c r="AA168" s="75"/>
      <c r="AB168" s="75"/>
    </row>
    <row r="169" spans="1:28" x14ac:dyDescent="0.3">
      <c r="A169" s="67">
        <v>168</v>
      </c>
      <c r="B169" s="76"/>
      <c r="C169" s="76"/>
      <c r="D169" s="76"/>
      <c r="E169" s="71"/>
      <c r="F169" s="71"/>
      <c r="G169" s="80"/>
      <c r="H169" s="71"/>
      <c r="I169" s="67" t="str">
        <f t="shared" si="11"/>
        <v/>
      </c>
      <c r="J169" s="67" t="str">
        <f t="shared" si="12"/>
        <v/>
      </c>
      <c r="K169" s="67"/>
      <c r="L169" s="67"/>
      <c r="M169" s="67"/>
      <c r="N169" s="75"/>
      <c r="O169" s="75"/>
      <c r="P169" s="75"/>
      <c r="Q169" s="75"/>
      <c r="R169" s="75"/>
      <c r="S169" s="75"/>
      <c r="T169" s="75"/>
      <c r="U169" s="75"/>
      <c r="V169" s="75"/>
      <c r="W169" s="80"/>
      <c r="X169" s="75"/>
      <c r="Y169" s="75"/>
      <c r="Z169" s="75"/>
      <c r="AA169" s="75"/>
      <c r="AB169" s="75"/>
    </row>
    <row r="170" spans="1:28" x14ac:dyDescent="0.3">
      <c r="A170" s="67">
        <v>169</v>
      </c>
      <c r="B170" s="76"/>
      <c r="C170" s="76"/>
      <c r="D170" s="76"/>
      <c r="E170" s="71"/>
      <c r="F170" s="71"/>
      <c r="G170" s="80"/>
      <c r="H170" s="71"/>
      <c r="I170" s="67" t="str">
        <f t="shared" si="11"/>
        <v/>
      </c>
      <c r="J170" s="67" t="str">
        <f t="shared" si="12"/>
        <v/>
      </c>
      <c r="K170" s="67"/>
      <c r="L170" s="67"/>
      <c r="M170" s="67"/>
      <c r="N170" s="75"/>
      <c r="O170" s="75"/>
      <c r="P170" s="75"/>
      <c r="Q170" s="75"/>
      <c r="R170" s="75"/>
      <c r="S170" s="75"/>
      <c r="T170" s="75"/>
      <c r="U170" s="75"/>
      <c r="V170" s="75"/>
      <c r="W170" s="80"/>
      <c r="X170" s="75"/>
      <c r="Y170" s="75"/>
      <c r="Z170" s="75"/>
      <c r="AA170" s="75"/>
      <c r="AB170" s="75"/>
    </row>
    <row r="171" spans="1:28" x14ac:dyDescent="0.3">
      <c r="A171" s="67">
        <v>170</v>
      </c>
      <c r="B171" s="76"/>
      <c r="C171" s="76"/>
      <c r="D171" s="76"/>
      <c r="E171" s="71"/>
      <c r="F171" s="71"/>
      <c r="G171" s="80"/>
      <c r="H171" s="71"/>
      <c r="I171" s="67" t="str">
        <f t="shared" si="11"/>
        <v/>
      </c>
      <c r="J171" s="67" t="str">
        <f t="shared" si="12"/>
        <v/>
      </c>
      <c r="K171" s="67"/>
      <c r="L171" s="67"/>
      <c r="M171" s="67"/>
      <c r="N171" s="75"/>
      <c r="O171" s="75"/>
      <c r="P171" s="75"/>
      <c r="Q171" s="75"/>
      <c r="R171" s="75"/>
      <c r="S171" s="75"/>
      <c r="T171" s="75"/>
      <c r="U171" s="75"/>
      <c r="V171" s="75"/>
      <c r="W171" s="80"/>
      <c r="X171" s="75"/>
      <c r="Y171" s="75"/>
      <c r="Z171" s="75"/>
      <c r="AA171" s="75"/>
      <c r="AB171" s="75"/>
    </row>
    <row r="172" spans="1:28" x14ac:dyDescent="0.3">
      <c r="A172" s="67">
        <v>171</v>
      </c>
      <c r="B172" s="76"/>
      <c r="C172" s="76"/>
      <c r="D172" s="76"/>
      <c r="E172" s="71"/>
      <c r="F172" s="71"/>
      <c r="G172" s="80"/>
      <c r="H172" s="71"/>
      <c r="I172" s="67" t="str">
        <f t="shared" si="11"/>
        <v/>
      </c>
      <c r="J172" s="67" t="str">
        <f t="shared" si="12"/>
        <v/>
      </c>
      <c r="K172" s="67"/>
      <c r="L172" s="67"/>
      <c r="M172" s="67"/>
      <c r="N172" s="75"/>
      <c r="O172" s="75"/>
      <c r="P172" s="75"/>
      <c r="Q172" s="75"/>
      <c r="R172" s="75"/>
      <c r="S172" s="75"/>
      <c r="T172" s="75"/>
      <c r="U172" s="75"/>
      <c r="V172" s="75"/>
      <c r="W172" s="80"/>
      <c r="X172" s="75"/>
      <c r="Y172" s="75"/>
      <c r="Z172" s="75"/>
      <c r="AA172" s="75"/>
      <c r="AB172" s="75"/>
    </row>
    <row r="173" spans="1:28" x14ac:dyDescent="0.3">
      <c r="A173" s="67">
        <v>172</v>
      </c>
      <c r="B173" s="76"/>
      <c r="C173" s="76"/>
      <c r="D173" s="76"/>
      <c r="E173" s="71"/>
      <c r="F173" s="71"/>
      <c r="G173" s="80"/>
      <c r="H173" s="71"/>
      <c r="I173" s="67" t="str">
        <f t="shared" si="11"/>
        <v/>
      </c>
      <c r="J173" s="67" t="str">
        <f t="shared" si="12"/>
        <v/>
      </c>
      <c r="K173" s="67"/>
      <c r="L173" s="67"/>
      <c r="M173" s="67"/>
      <c r="N173" s="75"/>
      <c r="O173" s="75"/>
      <c r="P173" s="75"/>
      <c r="Q173" s="75"/>
      <c r="R173" s="75"/>
      <c r="S173" s="75"/>
      <c r="T173" s="75"/>
      <c r="U173" s="75"/>
      <c r="V173" s="75"/>
      <c r="W173" s="80"/>
      <c r="X173" s="75"/>
      <c r="Y173" s="75"/>
      <c r="Z173" s="75"/>
      <c r="AA173" s="75"/>
      <c r="AB173" s="75"/>
    </row>
    <row r="174" spans="1:28" x14ac:dyDescent="0.3">
      <c r="A174" s="67">
        <v>173</v>
      </c>
      <c r="B174" s="76"/>
      <c r="C174" s="76"/>
      <c r="D174" s="76"/>
      <c r="E174" s="71"/>
      <c r="F174" s="71"/>
      <c r="G174" s="80"/>
      <c r="H174" s="71"/>
      <c r="I174" s="67" t="str">
        <f t="shared" si="11"/>
        <v/>
      </c>
      <c r="J174" s="67" t="str">
        <f t="shared" si="12"/>
        <v/>
      </c>
      <c r="K174" s="67"/>
      <c r="L174" s="67"/>
      <c r="M174" s="67"/>
      <c r="N174" s="75"/>
      <c r="O174" s="75"/>
      <c r="P174" s="75"/>
      <c r="Q174" s="75"/>
      <c r="R174" s="75"/>
      <c r="S174" s="75"/>
      <c r="T174" s="75"/>
      <c r="U174" s="75"/>
      <c r="V174" s="75"/>
      <c r="W174" s="80"/>
      <c r="X174" s="75"/>
      <c r="Y174" s="75"/>
      <c r="Z174" s="75"/>
      <c r="AA174" s="75"/>
      <c r="AB174" s="75"/>
    </row>
    <row r="175" spans="1:28" x14ac:dyDescent="0.3">
      <c r="A175" s="67">
        <v>174</v>
      </c>
      <c r="B175" s="76"/>
      <c r="C175" s="76"/>
      <c r="D175" s="76"/>
      <c r="E175" s="71"/>
      <c r="F175" s="71"/>
      <c r="G175" s="80"/>
      <c r="H175" s="71"/>
      <c r="I175" s="67" t="str">
        <f t="shared" si="11"/>
        <v/>
      </c>
      <c r="J175" s="67" t="str">
        <f t="shared" si="12"/>
        <v/>
      </c>
      <c r="K175" s="67"/>
      <c r="L175" s="67"/>
      <c r="M175" s="67"/>
      <c r="N175" s="75"/>
      <c r="O175" s="75"/>
      <c r="P175" s="75"/>
      <c r="Q175" s="75"/>
      <c r="R175" s="75"/>
      <c r="S175" s="75"/>
      <c r="T175" s="75"/>
      <c r="U175" s="75"/>
      <c r="V175" s="75"/>
      <c r="W175" s="80"/>
      <c r="X175" s="75"/>
      <c r="Y175" s="75"/>
      <c r="Z175" s="75"/>
      <c r="AA175" s="75"/>
      <c r="AB175" s="75"/>
    </row>
    <row r="176" spans="1:28" x14ac:dyDescent="0.3">
      <c r="A176" s="67">
        <v>175</v>
      </c>
      <c r="B176" s="76"/>
      <c r="C176" s="76"/>
      <c r="D176" s="76"/>
      <c r="E176" s="71"/>
      <c r="F176" s="71"/>
      <c r="G176" s="80"/>
      <c r="H176" s="71"/>
      <c r="I176" s="67" t="str">
        <f t="shared" si="11"/>
        <v/>
      </c>
      <c r="J176" s="67" t="str">
        <f t="shared" si="12"/>
        <v/>
      </c>
      <c r="K176" s="67"/>
      <c r="L176" s="67"/>
      <c r="M176" s="67"/>
      <c r="N176" s="75"/>
      <c r="O176" s="75"/>
      <c r="P176" s="75"/>
      <c r="Q176" s="75"/>
      <c r="R176" s="75"/>
      <c r="S176" s="75"/>
      <c r="T176" s="75"/>
      <c r="U176" s="75"/>
      <c r="V176" s="75"/>
      <c r="W176" s="80"/>
      <c r="X176" s="75"/>
      <c r="Y176" s="75"/>
      <c r="Z176" s="75"/>
      <c r="AA176" s="75"/>
      <c r="AB176" s="75"/>
    </row>
    <row r="177" spans="1:28" x14ac:dyDescent="0.3">
      <c r="A177" s="67">
        <v>176</v>
      </c>
      <c r="B177" s="76"/>
      <c r="C177" s="76"/>
      <c r="D177" s="76"/>
      <c r="E177" s="71"/>
      <c r="F177" s="71"/>
      <c r="G177" s="80"/>
      <c r="H177" s="71"/>
      <c r="I177" s="67" t="str">
        <f t="shared" si="11"/>
        <v/>
      </c>
      <c r="J177" s="67" t="str">
        <f t="shared" si="12"/>
        <v/>
      </c>
      <c r="K177" s="67"/>
      <c r="L177" s="67"/>
      <c r="M177" s="67"/>
      <c r="N177" s="75"/>
      <c r="O177" s="75"/>
      <c r="P177" s="75"/>
      <c r="Q177" s="75"/>
      <c r="R177" s="75"/>
      <c r="S177" s="75"/>
      <c r="T177" s="75"/>
      <c r="U177" s="75"/>
      <c r="V177" s="75"/>
      <c r="W177" s="80"/>
      <c r="X177" s="75"/>
      <c r="Y177" s="75"/>
      <c r="Z177" s="75"/>
      <c r="AA177" s="75"/>
      <c r="AB177" s="75"/>
    </row>
    <row r="178" spans="1:28" x14ac:dyDescent="0.3">
      <c r="A178" s="67">
        <v>177</v>
      </c>
      <c r="B178" s="76"/>
      <c r="C178" s="76"/>
      <c r="D178" s="76"/>
      <c r="E178" s="71"/>
      <c r="F178" s="71"/>
      <c r="G178" s="80"/>
      <c r="H178" s="71"/>
      <c r="I178" s="67" t="str">
        <f t="shared" si="11"/>
        <v/>
      </c>
      <c r="J178" s="67" t="str">
        <f t="shared" si="12"/>
        <v/>
      </c>
      <c r="K178" s="67"/>
      <c r="L178" s="67"/>
      <c r="M178" s="67"/>
      <c r="N178" s="75"/>
      <c r="O178" s="75"/>
      <c r="P178" s="75"/>
      <c r="Q178" s="75"/>
      <c r="R178" s="75"/>
      <c r="S178" s="75"/>
      <c r="T178" s="75"/>
      <c r="U178" s="75"/>
      <c r="V178" s="75"/>
      <c r="W178" s="80"/>
      <c r="X178" s="75"/>
      <c r="Y178" s="75"/>
      <c r="Z178" s="75"/>
      <c r="AA178" s="75"/>
      <c r="AB178" s="75"/>
    </row>
    <row r="179" spans="1:28" x14ac:dyDescent="0.3">
      <c r="A179" s="67">
        <v>178</v>
      </c>
      <c r="B179" s="76"/>
      <c r="C179" s="76"/>
      <c r="D179" s="76"/>
      <c r="E179" s="71"/>
      <c r="F179" s="71"/>
      <c r="G179" s="80"/>
      <c r="H179" s="71"/>
      <c r="I179" s="67" t="str">
        <f t="shared" si="11"/>
        <v/>
      </c>
      <c r="J179" s="67" t="str">
        <f t="shared" si="12"/>
        <v/>
      </c>
      <c r="K179" s="67"/>
      <c r="L179" s="67"/>
      <c r="M179" s="67"/>
      <c r="N179" s="75"/>
      <c r="O179" s="75"/>
      <c r="P179" s="75"/>
      <c r="Q179" s="75"/>
      <c r="R179" s="75"/>
      <c r="S179" s="75"/>
      <c r="T179" s="75"/>
      <c r="U179" s="75"/>
      <c r="V179" s="75"/>
      <c r="W179" s="80"/>
      <c r="X179" s="75"/>
      <c r="Y179" s="75"/>
      <c r="Z179" s="75"/>
      <c r="AA179" s="75"/>
      <c r="AB179" s="75"/>
    </row>
    <row r="180" spans="1:28" x14ac:dyDescent="0.3">
      <c r="A180" s="67">
        <v>179</v>
      </c>
      <c r="B180" s="76"/>
      <c r="C180" s="76"/>
      <c r="D180" s="76"/>
      <c r="E180" s="71"/>
      <c r="F180" s="71"/>
      <c r="G180" s="80"/>
      <c r="H180" s="71"/>
      <c r="I180" s="67" t="str">
        <f t="shared" si="11"/>
        <v/>
      </c>
      <c r="J180" s="67" t="str">
        <f t="shared" si="12"/>
        <v/>
      </c>
      <c r="K180" s="67"/>
      <c r="L180" s="67"/>
      <c r="M180" s="67"/>
      <c r="N180" s="75"/>
      <c r="O180" s="75"/>
      <c r="P180" s="75"/>
      <c r="Q180" s="75"/>
      <c r="R180" s="75"/>
      <c r="S180" s="75"/>
      <c r="T180" s="75"/>
      <c r="U180" s="75"/>
      <c r="V180" s="75"/>
      <c r="W180" s="80"/>
      <c r="X180" s="75"/>
      <c r="Y180" s="75"/>
      <c r="Z180" s="75"/>
      <c r="AA180" s="75"/>
      <c r="AB180" s="75"/>
    </row>
    <row r="181" spans="1:28" x14ac:dyDescent="0.3">
      <c r="A181" s="67">
        <v>180</v>
      </c>
      <c r="B181" s="76"/>
      <c r="C181" s="76"/>
      <c r="D181" s="76"/>
      <c r="E181" s="71"/>
      <c r="F181" s="71"/>
      <c r="G181" s="80"/>
      <c r="H181" s="71"/>
      <c r="I181" s="67" t="str">
        <f t="shared" si="11"/>
        <v/>
      </c>
      <c r="J181" s="67" t="str">
        <f t="shared" si="12"/>
        <v/>
      </c>
      <c r="K181" s="67"/>
      <c r="L181" s="67"/>
      <c r="M181" s="67"/>
      <c r="N181" s="75"/>
      <c r="O181" s="75"/>
      <c r="P181" s="75"/>
      <c r="Q181" s="75"/>
      <c r="R181" s="75"/>
      <c r="S181" s="75"/>
      <c r="T181" s="75"/>
      <c r="U181" s="75"/>
      <c r="V181" s="75"/>
      <c r="W181" s="80"/>
      <c r="X181" s="75"/>
      <c r="Y181" s="75"/>
      <c r="Z181" s="75"/>
      <c r="AA181" s="75"/>
      <c r="AB181" s="75"/>
    </row>
    <row r="182" spans="1:28" x14ac:dyDescent="0.3">
      <c r="A182" s="67">
        <v>181</v>
      </c>
      <c r="B182" s="76"/>
      <c r="C182" s="76"/>
      <c r="D182" s="76"/>
      <c r="E182" s="71"/>
      <c r="F182" s="71"/>
      <c r="G182" s="80"/>
      <c r="H182" s="71"/>
      <c r="I182" s="67" t="str">
        <f t="shared" si="11"/>
        <v/>
      </c>
      <c r="J182" s="67" t="str">
        <f t="shared" si="12"/>
        <v/>
      </c>
      <c r="K182" s="67"/>
      <c r="L182" s="67"/>
      <c r="M182" s="67"/>
      <c r="N182" s="75"/>
      <c r="O182" s="75"/>
      <c r="P182" s="75"/>
      <c r="Q182" s="75"/>
      <c r="R182" s="75"/>
      <c r="S182" s="75"/>
      <c r="T182" s="75"/>
      <c r="U182" s="75"/>
      <c r="V182" s="75"/>
      <c r="W182" s="80"/>
      <c r="X182" s="75"/>
      <c r="Y182" s="75"/>
      <c r="Z182" s="75"/>
      <c r="AA182" s="75"/>
      <c r="AB182" s="75"/>
    </row>
    <row r="183" spans="1:28" x14ac:dyDescent="0.3">
      <c r="A183" s="67">
        <v>182</v>
      </c>
      <c r="B183" s="76"/>
      <c r="C183" s="76"/>
      <c r="D183" s="76"/>
      <c r="E183" s="71"/>
      <c r="F183" s="71"/>
      <c r="G183" s="80"/>
      <c r="H183" s="71"/>
      <c r="I183" s="67" t="str">
        <f t="shared" si="11"/>
        <v/>
      </c>
      <c r="J183" s="67" t="str">
        <f t="shared" si="12"/>
        <v/>
      </c>
      <c r="K183" s="67"/>
      <c r="L183" s="67"/>
      <c r="M183" s="67"/>
      <c r="N183" s="75"/>
      <c r="O183" s="75"/>
      <c r="P183" s="75"/>
      <c r="Q183" s="75"/>
      <c r="R183" s="75"/>
      <c r="S183" s="75"/>
      <c r="T183" s="75"/>
      <c r="U183" s="75"/>
      <c r="V183" s="75"/>
      <c r="W183" s="80"/>
      <c r="X183" s="75"/>
      <c r="Y183" s="75"/>
      <c r="Z183" s="75"/>
      <c r="AA183" s="75"/>
      <c r="AB183" s="75"/>
    </row>
    <row r="184" spans="1:28" x14ac:dyDescent="0.3">
      <c r="A184" s="67">
        <v>183</v>
      </c>
      <c r="B184" s="76"/>
      <c r="C184" s="76"/>
      <c r="D184" s="76"/>
      <c r="E184" s="71"/>
      <c r="F184" s="71"/>
      <c r="G184" s="80"/>
      <c r="H184" s="71"/>
      <c r="I184" s="67" t="str">
        <f t="shared" si="11"/>
        <v/>
      </c>
      <c r="J184" s="67" t="str">
        <f t="shared" si="12"/>
        <v/>
      </c>
      <c r="K184" s="67"/>
      <c r="L184" s="67"/>
      <c r="M184" s="67"/>
      <c r="N184" s="75"/>
      <c r="O184" s="75"/>
      <c r="P184" s="75"/>
      <c r="Q184" s="75"/>
      <c r="R184" s="75"/>
      <c r="S184" s="75"/>
      <c r="T184" s="75"/>
      <c r="U184" s="75"/>
      <c r="V184" s="75"/>
      <c r="W184" s="80"/>
      <c r="X184" s="75"/>
      <c r="Y184" s="75"/>
      <c r="Z184" s="75"/>
      <c r="AA184" s="75"/>
      <c r="AB184" s="75"/>
    </row>
    <row r="185" spans="1:28" x14ac:dyDescent="0.3">
      <c r="A185" s="67">
        <v>184</v>
      </c>
      <c r="B185" s="76"/>
      <c r="C185" s="76"/>
      <c r="D185" s="76"/>
      <c r="E185" s="71"/>
      <c r="F185" s="71"/>
      <c r="G185" s="80"/>
      <c r="H185" s="71"/>
      <c r="I185" s="67" t="str">
        <f t="shared" si="11"/>
        <v/>
      </c>
      <c r="J185" s="67" t="str">
        <f t="shared" si="12"/>
        <v/>
      </c>
      <c r="K185" s="67"/>
      <c r="L185" s="67"/>
      <c r="M185" s="67"/>
      <c r="N185" s="75"/>
      <c r="O185" s="75"/>
      <c r="P185" s="75"/>
      <c r="Q185" s="75"/>
      <c r="R185" s="75"/>
      <c r="S185" s="75"/>
      <c r="T185" s="75"/>
      <c r="U185" s="75"/>
      <c r="V185" s="75"/>
      <c r="W185" s="80"/>
      <c r="X185" s="75"/>
      <c r="Y185" s="75"/>
      <c r="Z185" s="75"/>
      <c r="AA185" s="75"/>
      <c r="AB185" s="75"/>
    </row>
    <row r="186" spans="1:28" x14ac:dyDescent="0.3">
      <c r="A186" s="67">
        <v>185</v>
      </c>
      <c r="B186" s="76"/>
      <c r="C186" s="76"/>
      <c r="D186" s="76"/>
      <c r="E186" s="71"/>
      <c r="F186" s="71"/>
      <c r="G186" s="80"/>
      <c r="H186" s="71"/>
      <c r="I186" s="67" t="str">
        <f t="shared" si="11"/>
        <v/>
      </c>
      <c r="J186" s="67" t="str">
        <f t="shared" si="12"/>
        <v/>
      </c>
      <c r="K186" s="67"/>
      <c r="L186" s="67"/>
      <c r="M186" s="67"/>
      <c r="N186" s="75"/>
      <c r="O186" s="75"/>
      <c r="P186" s="75"/>
      <c r="Q186" s="75"/>
      <c r="R186" s="75"/>
      <c r="S186" s="75"/>
      <c r="T186" s="75"/>
      <c r="U186" s="75"/>
      <c r="V186" s="75"/>
      <c r="W186" s="80"/>
      <c r="X186" s="75"/>
      <c r="Y186" s="75"/>
      <c r="Z186" s="75"/>
      <c r="AA186" s="75"/>
      <c r="AB186" s="75"/>
    </row>
    <row r="187" spans="1:28" x14ac:dyDescent="0.3">
      <c r="A187" s="67">
        <v>186</v>
      </c>
      <c r="B187" s="76"/>
      <c r="C187" s="76"/>
      <c r="D187" s="76"/>
      <c r="E187" s="71"/>
      <c r="F187" s="71"/>
      <c r="G187" s="80"/>
      <c r="H187" s="71"/>
      <c r="I187" s="67" t="str">
        <f t="shared" si="11"/>
        <v/>
      </c>
      <c r="J187" s="67" t="str">
        <f t="shared" si="12"/>
        <v/>
      </c>
      <c r="K187" s="67"/>
      <c r="L187" s="67"/>
      <c r="M187" s="67"/>
      <c r="N187" s="75"/>
      <c r="O187" s="75"/>
      <c r="P187" s="75"/>
      <c r="Q187" s="75"/>
      <c r="R187" s="75"/>
      <c r="S187" s="75"/>
      <c r="T187" s="75"/>
      <c r="U187" s="75"/>
      <c r="V187" s="75"/>
      <c r="W187" s="80"/>
      <c r="X187" s="75"/>
      <c r="Y187" s="75"/>
      <c r="Z187" s="75"/>
      <c r="AA187" s="75"/>
      <c r="AB187" s="75"/>
    </row>
    <row r="188" spans="1:28" x14ac:dyDescent="0.3">
      <c r="A188" s="67">
        <v>187</v>
      </c>
      <c r="B188" s="76"/>
      <c r="C188" s="76"/>
      <c r="D188" s="76"/>
      <c r="E188" s="71"/>
      <c r="F188" s="71"/>
      <c r="G188" s="80"/>
      <c r="H188" s="71"/>
      <c r="I188" s="67" t="str">
        <f t="shared" si="11"/>
        <v/>
      </c>
      <c r="J188" s="67" t="str">
        <f t="shared" si="12"/>
        <v/>
      </c>
      <c r="K188" s="67"/>
      <c r="L188" s="67"/>
      <c r="M188" s="67"/>
      <c r="N188" s="75"/>
      <c r="O188" s="75"/>
      <c r="P188" s="75"/>
      <c r="Q188" s="75"/>
      <c r="R188" s="75"/>
      <c r="S188" s="75"/>
      <c r="T188" s="75"/>
      <c r="U188" s="75"/>
      <c r="V188" s="75"/>
      <c r="W188" s="80"/>
      <c r="X188" s="75"/>
      <c r="Y188" s="75"/>
      <c r="Z188" s="75"/>
      <c r="AA188" s="75"/>
      <c r="AB188" s="75"/>
    </row>
    <row r="189" spans="1:28" x14ac:dyDescent="0.3">
      <c r="A189" s="67">
        <v>188</v>
      </c>
      <c r="B189" s="76"/>
      <c r="C189" s="76"/>
      <c r="D189" s="76"/>
      <c r="E189" s="71"/>
      <c r="F189" s="71"/>
      <c r="G189" s="80"/>
      <c r="H189" s="71"/>
      <c r="I189" s="67" t="str">
        <f t="shared" si="11"/>
        <v/>
      </c>
      <c r="J189" s="67" t="str">
        <f t="shared" si="12"/>
        <v/>
      </c>
      <c r="K189" s="67"/>
      <c r="L189" s="67"/>
      <c r="M189" s="67"/>
      <c r="N189" s="75"/>
      <c r="O189" s="75"/>
      <c r="P189" s="75"/>
      <c r="Q189" s="75"/>
      <c r="R189" s="75"/>
      <c r="S189" s="75"/>
      <c r="T189" s="75"/>
      <c r="U189" s="75"/>
      <c r="V189" s="75"/>
      <c r="W189" s="80"/>
      <c r="X189" s="75"/>
      <c r="Y189" s="75"/>
      <c r="Z189" s="75"/>
      <c r="AA189" s="75"/>
      <c r="AB189" s="75"/>
    </row>
    <row r="190" spans="1:28" x14ac:dyDescent="0.3">
      <c r="A190" s="67">
        <v>189</v>
      </c>
      <c r="B190" s="76"/>
      <c r="C190" s="76"/>
      <c r="D190" s="76"/>
      <c r="E190" s="71"/>
      <c r="F190" s="71"/>
      <c r="G190" s="80"/>
      <c r="H190" s="71"/>
      <c r="I190" s="67" t="str">
        <f t="shared" si="11"/>
        <v/>
      </c>
      <c r="J190" s="67" t="str">
        <f t="shared" si="12"/>
        <v/>
      </c>
      <c r="K190" s="67"/>
      <c r="L190" s="67"/>
      <c r="M190" s="67"/>
      <c r="N190" s="75"/>
      <c r="O190" s="75"/>
      <c r="P190" s="75"/>
      <c r="Q190" s="75"/>
      <c r="R190" s="75"/>
      <c r="S190" s="75"/>
      <c r="T190" s="75"/>
      <c r="U190" s="75"/>
      <c r="V190" s="75"/>
      <c r="W190" s="80"/>
      <c r="X190" s="75"/>
      <c r="Y190" s="75"/>
      <c r="Z190" s="75"/>
      <c r="AA190" s="75"/>
      <c r="AB190" s="75"/>
    </row>
    <row r="191" spans="1:28" x14ac:dyDescent="0.3">
      <c r="A191" s="67">
        <v>190</v>
      </c>
      <c r="B191" s="76"/>
      <c r="C191" s="76"/>
      <c r="D191" s="76"/>
      <c r="E191" s="71"/>
      <c r="F191" s="71"/>
      <c r="G191" s="80"/>
      <c r="H191" s="71"/>
      <c r="I191" s="67" t="str">
        <f t="shared" si="11"/>
        <v/>
      </c>
      <c r="J191" s="67" t="str">
        <f t="shared" si="12"/>
        <v/>
      </c>
      <c r="K191" s="67"/>
      <c r="L191" s="67"/>
      <c r="M191" s="67"/>
      <c r="N191" s="75"/>
      <c r="O191" s="75"/>
      <c r="P191" s="75"/>
      <c r="Q191" s="75"/>
      <c r="R191" s="75"/>
      <c r="S191" s="75"/>
      <c r="T191" s="75"/>
      <c r="U191" s="75"/>
      <c r="V191" s="75"/>
      <c r="W191" s="80"/>
      <c r="X191" s="75"/>
      <c r="Y191" s="75"/>
      <c r="Z191" s="75"/>
      <c r="AA191" s="75"/>
      <c r="AB191" s="75"/>
    </row>
    <row r="192" spans="1:28" x14ac:dyDescent="0.3">
      <c r="A192" s="67">
        <v>191</v>
      </c>
      <c r="B192" s="76"/>
      <c r="C192" s="76"/>
      <c r="D192" s="76"/>
      <c r="E192" s="71"/>
      <c r="F192" s="71"/>
      <c r="G192" s="80"/>
      <c r="H192" s="71"/>
      <c r="I192" s="67" t="str">
        <f t="shared" si="11"/>
        <v/>
      </c>
      <c r="J192" s="67" t="str">
        <f t="shared" si="12"/>
        <v/>
      </c>
      <c r="K192" s="67"/>
      <c r="L192" s="67"/>
      <c r="M192" s="67"/>
      <c r="N192" s="75"/>
      <c r="O192" s="75"/>
      <c r="P192" s="75"/>
      <c r="Q192" s="75"/>
      <c r="R192" s="75"/>
      <c r="S192" s="75"/>
      <c r="T192" s="75"/>
      <c r="U192" s="75"/>
      <c r="V192" s="75"/>
      <c r="W192" s="80"/>
      <c r="X192" s="75"/>
      <c r="Y192" s="75"/>
      <c r="Z192" s="75"/>
      <c r="AA192" s="75"/>
      <c r="AB192" s="75"/>
    </row>
    <row r="193" spans="1:28" x14ac:dyDescent="0.3">
      <c r="A193" s="67">
        <v>192</v>
      </c>
      <c r="B193" s="76"/>
      <c r="C193" s="76"/>
      <c r="D193" s="76"/>
      <c r="E193" s="71"/>
      <c r="F193" s="71"/>
      <c r="G193" s="80"/>
      <c r="H193" s="71"/>
      <c r="I193" s="67" t="str">
        <f t="shared" si="11"/>
        <v/>
      </c>
      <c r="J193" s="67" t="str">
        <f t="shared" si="12"/>
        <v/>
      </c>
      <c r="K193" s="67"/>
      <c r="L193" s="67"/>
      <c r="M193" s="67"/>
      <c r="N193" s="75"/>
      <c r="O193" s="75"/>
      <c r="P193" s="75"/>
      <c r="Q193" s="75"/>
      <c r="R193" s="75"/>
      <c r="S193" s="75"/>
      <c r="T193" s="75"/>
      <c r="U193" s="75"/>
      <c r="V193" s="75"/>
      <c r="W193" s="80"/>
      <c r="X193" s="75"/>
      <c r="Y193" s="75"/>
      <c r="Z193" s="75"/>
      <c r="AA193" s="75"/>
      <c r="AB193" s="75"/>
    </row>
    <row r="194" spans="1:28" x14ac:dyDescent="0.3">
      <c r="A194" s="67">
        <v>193</v>
      </c>
      <c r="B194" s="76"/>
      <c r="C194" s="76"/>
      <c r="D194" s="76"/>
      <c r="E194" s="71"/>
      <c r="F194" s="71"/>
      <c r="G194" s="80"/>
      <c r="H194" s="71"/>
      <c r="I194" s="67" t="str">
        <f t="shared" ref="I194:I257" si="13">IF($H194="","",IF(UPPER(TRIM($H194))="YES","YES",IF($N194&gt;=BASIC_CAP,"NO","YES")))</f>
        <v/>
      </c>
      <c r="J194" s="67" t="str">
        <f t="shared" ref="J194:J257" si="14">IF($G194="","",IF($G194&lt;=ESIC_LIMIT,"YES","NO"))</f>
        <v/>
      </c>
      <c r="K194" s="67"/>
      <c r="L194" s="67"/>
      <c r="M194" s="67"/>
      <c r="N194" s="75"/>
      <c r="O194" s="75"/>
      <c r="P194" s="75"/>
      <c r="Q194" s="75"/>
      <c r="R194" s="75"/>
      <c r="S194" s="75"/>
      <c r="T194" s="75"/>
      <c r="U194" s="75"/>
      <c r="V194" s="75"/>
      <c r="W194" s="80"/>
      <c r="X194" s="75"/>
      <c r="Y194" s="75"/>
      <c r="Z194" s="75"/>
      <c r="AA194" s="75"/>
      <c r="AB194" s="75"/>
    </row>
    <row r="195" spans="1:28" x14ac:dyDescent="0.3">
      <c r="A195" s="67">
        <v>194</v>
      </c>
      <c r="B195" s="76"/>
      <c r="C195" s="76"/>
      <c r="D195" s="76"/>
      <c r="E195" s="71"/>
      <c r="F195" s="71"/>
      <c r="G195" s="80"/>
      <c r="H195" s="71"/>
      <c r="I195" s="67" t="str">
        <f t="shared" si="13"/>
        <v/>
      </c>
      <c r="J195" s="67" t="str">
        <f t="shared" si="14"/>
        <v/>
      </c>
      <c r="K195" s="67"/>
      <c r="L195" s="67"/>
      <c r="M195" s="67"/>
      <c r="N195" s="75"/>
      <c r="O195" s="75"/>
      <c r="P195" s="75"/>
      <c r="Q195" s="75"/>
      <c r="R195" s="75"/>
      <c r="S195" s="75"/>
      <c r="T195" s="75"/>
      <c r="U195" s="75"/>
      <c r="V195" s="75"/>
      <c r="W195" s="80"/>
      <c r="X195" s="75"/>
      <c r="Y195" s="75"/>
      <c r="Z195" s="75"/>
      <c r="AA195" s="75"/>
      <c r="AB195" s="75"/>
    </row>
    <row r="196" spans="1:28" x14ac:dyDescent="0.3">
      <c r="A196" s="67">
        <v>195</v>
      </c>
      <c r="B196" s="76"/>
      <c r="C196" s="76"/>
      <c r="D196" s="76"/>
      <c r="E196" s="71"/>
      <c r="F196" s="71"/>
      <c r="G196" s="80"/>
      <c r="H196" s="71"/>
      <c r="I196" s="67" t="str">
        <f t="shared" si="13"/>
        <v/>
      </c>
      <c r="J196" s="67" t="str">
        <f t="shared" si="14"/>
        <v/>
      </c>
      <c r="K196" s="67"/>
      <c r="L196" s="67"/>
      <c r="M196" s="67"/>
      <c r="N196" s="75"/>
      <c r="O196" s="75"/>
      <c r="P196" s="75"/>
      <c r="Q196" s="75"/>
      <c r="R196" s="75"/>
      <c r="S196" s="75"/>
      <c r="T196" s="75"/>
      <c r="U196" s="75"/>
      <c r="V196" s="75"/>
      <c r="W196" s="80"/>
      <c r="X196" s="75"/>
      <c r="Y196" s="75"/>
      <c r="Z196" s="75"/>
      <c r="AA196" s="75"/>
      <c r="AB196" s="75"/>
    </row>
    <row r="197" spans="1:28" x14ac:dyDescent="0.3">
      <c r="A197" s="67">
        <v>196</v>
      </c>
      <c r="B197" s="76"/>
      <c r="C197" s="76"/>
      <c r="D197" s="76"/>
      <c r="E197" s="71"/>
      <c r="F197" s="71"/>
      <c r="G197" s="80"/>
      <c r="H197" s="71"/>
      <c r="I197" s="67" t="str">
        <f t="shared" si="13"/>
        <v/>
      </c>
      <c r="J197" s="67" t="str">
        <f t="shared" si="14"/>
        <v/>
      </c>
      <c r="K197" s="67"/>
      <c r="L197" s="67"/>
      <c r="M197" s="67"/>
      <c r="N197" s="75"/>
      <c r="O197" s="75"/>
      <c r="P197" s="75"/>
      <c r="Q197" s="75"/>
      <c r="R197" s="75"/>
      <c r="S197" s="75"/>
      <c r="T197" s="75"/>
      <c r="U197" s="75"/>
      <c r="V197" s="75"/>
      <c r="W197" s="80"/>
      <c r="X197" s="75"/>
      <c r="Y197" s="75"/>
      <c r="Z197" s="75"/>
      <c r="AA197" s="75"/>
      <c r="AB197" s="75"/>
    </row>
    <row r="198" spans="1:28" x14ac:dyDescent="0.3">
      <c r="A198" s="67">
        <v>197</v>
      </c>
      <c r="B198" s="76"/>
      <c r="C198" s="76"/>
      <c r="D198" s="76"/>
      <c r="E198" s="71"/>
      <c r="F198" s="71"/>
      <c r="G198" s="80"/>
      <c r="H198" s="71"/>
      <c r="I198" s="67" t="str">
        <f t="shared" si="13"/>
        <v/>
      </c>
      <c r="J198" s="67" t="str">
        <f t="shared" si="14"/>
        <v/>
      </c>
      <c r="K198" s="67"/>
      <c r="L198" s="67"/>
      <c r="M198" s="67"/>
      <c r="N198" s="75"/>
      <c r="O198" s="75"/>
      <c r="P198" s="75"/>
      <c r="Q198" s="75"/>
      <c r="R198" s="75"/>
      <c r="S198" s="75"/>
      <c r="T198" s="75"/>
      <c r="U198" s="75"/>
      <c r="V198" s="75"/>
      <c r="W198" s="80"/>
      <c r="X198" s="75"/>
      <c r="Y198" s="75"/>
      <c r="Z198" s="75"/>
      <c r="AA198" s="75"/>
      <c r="AB198" s="75"/>
    </row>
    <row r="199" spans="1:28" x14ac:dyDescent="0.3">
      <c r="A199" s="67">
        <v>198</v>
      </c>
      <c r="B199" s="76"/>
      <c r="C199" s="76"/>
      <c r="D199" s="76"/>
      <c r="E199" s="71"/>
      <c r="F199" s="71"/>
      <c r="G199" s="80"/>
      <c r="H199" s="71"/>
      <c r="I199" s="67" t="str">
        <f t="shared" si="13"/>
        <v/>
      </c>
      <c r="J199" s="67" t="str">
        <f t="shared" si="14"/>
        <v/>
      </c>
      <c r="K199" s="67"/>
      <c r="L199" s="67"/>
      <c r="M199" s="67"/>
      <c r="N199" s="75"/>
      <c r="O199" s="75"/>
      <c r="P199" s="75"/>
      <c r="Q199" s="75"/>
      <c r="R199" s="75"/>
      <c r="S199" s="75"/>
      <c r="T199" s="75"/>
      <c r="U199" s="75"/>
      <c r="V199" s="75"/>
      <c r="W199" s="80"/>
      <c r="X199" s="75"/>
      <c r="Y199" s="75"/>
      <c r="Z199" s="75"/>
      <c r="AA199" s="75"/>
      <c r="AB199" s="75"/>
    </row>
    <row r="200" spans="1:28" x14ac:dyDescent="0.3">
      <c r="A200" s="67">
        <v>199</v>
      </c>
      <c r="B200" s="76"/>
      <c r="C200" s="76"/>
      <c r="D200" s="76"/>
      <c r="E200" s="71"/>
      <c r="F200" s="71"/>
      <c r="G200" s="80"/>
      <c r="H200" s="71"/>
      <c r="I200" s="67" t="str">
        <f t="shared" si="13"/>
        <v/>
      </c>
      <c r="J200" s="67" t="str">
        <f t="shared" si="14"/>
        <v/>
      </c>
      <c r="K200" s="67"/>
      <c r="L200" s="67"/>
      <c r="M200" s="67"/>
      <c r="N200" s="75"/>
      <c r="O200" s="75"/>
      <c r="P200" s="75"/>
      <c r="Q200" s="75"/>
      <c r="R200" s="75"/>
      <c r="S200" s="75"/>
      <c r="T200" s="75"/>
      <c r="U200" s="75"/>
      <c r="V200" s="75"/>
      <c r="W200" s="80"/>
      <c r="X200" s="75"/>
      <c r="Y200" s="75"/>
      <c r="Z200" s="75"/>
      <c r="AA200" s="75"/>
      <c r="AB200" s="75"/>
    </row>
    <row r="201" spans="1:28" x14ac:dyDescent="0.3">
      <c r="A201" s="67">
        <v>200</v>
      </c>
      <c r="B201" s="76"/>
      <c r="C201" s="76"/>
      <c r="D201" s="76"/>
      <c r="E201" s="71"/>
      <c r="F201" s="71"/>
      <c r="G201" s="80"/>
      <c r="H201" s="71"/>
      <c r="I201" s="67" t="str">
        <f t="shared" si="13"/>
        <v/>
      </c>
      <c r="J201" s="67" t="str">
        <f t="shared" si="14"/>
        <v/>
      </c>
      <c r="K201" s="67"/>
      <c r="L201" s="67"/>
      <c r="M201" s="67"/>
      <c r="N201" s="75"/>
      <c r="O201" s="75"/>
      <c r="P201" s="75"/>
      <c r="Q201" s="75"/>
      <c r="R201" s="75"/>
      <c r="S201" s="75"/>
      <c r="T201" s="75"/>
      <c r="U201" s="75"/>
      <c r="V201" s="75"/>
      <c r="W201" s="80"/>
      <c r="X201" s="75"/>
      <c r="Y201" s="75"/>
      <c r="Z201" s="75"/>
      <c r="AA201" s="75"/>
      <c r="AB201" s="75"/>
    </row>
    <row r="202" spans="1:28" x14ac:dyDescent="0.3">
      <c r="A202" s="67">
        <v>201</v>
      </c>
      <c r="B202" s="76"/>
      <c r="C202" s="76"/>
      <c r="D202" s="76"/>
      <c r="E202" s="71"/>
      <c r="F202" s="71"/>
      <c r="G202" s="80"/>
      <c r="H202" s="71"/>
      <c r="I202" s="67" t="str">
        <f t="shared" si="13"/>
        <v/>
      </c>
      <c r="J202" s="67" t="str">
        <f t="shared" si="14"/>
        <v/>
      </c>
      <c r="K202" s="67"/>
      <c r="L202" s="67"/>
      <c r="M202" s="67"/>
      <c r="N202" s="75"/>
      <c r="O202" s="75"/>
      <c r="P202" s="75"/>
      <c r="Q202" s="75"/>
      <c r="R202" s="75"/>
      <c r="S202" s="75"/>
      <c r="T202" s="75"/>
      <c r="U202" s="75"/>
      <c r="V202" s="75"/>
      <c r="W202" s="80"/>
      <c r="X202" s="75"/>
      <c r="Y202" s="75"/>
      <c r="Z202" s="75"/>
      <c r="AA202" s="75"/>
      <c r="AB202" s="75"/>
    </row>
    <row r="203" spans="1:28" x14ac:dyDescent="0.3">
      <c r="A203" s="67">
        <v>202</v>
      </c>
      <c r="B203" s="76"/>
      <c r="C203" s="76"/>
      <c r="D203" s="76"/>
      <c r="E203" s="71"/>
      <c r="F203" s="71"/>
      <c r="G203" s="80"/>
      <c r="H203" s="71"/>
      <c r="I203" s="67" t="str">
        <f t="shared" si="13"/>
        <v/>
      </c>
      <c r="J203" s="67" t="str">
        <f t="shared" si="14"/>
        <v/>
      </c>
      <c r="K203" s="67"/>
      <c r="L203" s="67"/>
      <c r="M203" s="67"/>
      <c r="N203" s="75"/>
      <c r="O203" s="75"/>
      <c r="P203" s="75"/>
      <c r="Q203" s="75"/>
      <c r="R203" s="75"/>
      <c r="S203" s="75"/>
      <c r="T203" s="75"/>
      <c r="U203" s="75"/>
      <c r="V203" s="75"/>
      <c r="W203" s="80"/>
      <c r="X203" s="75"/>
      <c r="Y203" s="75"/>
      <c r="Z203" s="75"/>
      <c r="AA203" s="75"/>
      <c r="AB203" s="75"/>
    </row>
    <row r="204" spans="1:28" x14ac:dyDescent="0.3">
      <c r="A204" s="67">
        <v>203</v>
      </c>
      <c r="B204" s="76"/>
      <c r="C204" s="76"/>
      <c r="D204" s="76"/>
      <c r="E204" s="71"/>
      <c r="F204" s="71"/>
      <c r="G204" s="80"/>
      <c r="H204" s="71"/>
      <c r="I204" s="67" t="str">
        <f t="shared" si="13"/>
        <v/>
      </c>
      <c r="J204" s="67" t="str">
        <f t="shared" si="14"/>
        <v/>
      </c>
      <c r="K204" s="67"/>
      <c r="L204" s="67"/>
      <c r="M204" s="67"/>
      <c r="N204" s="75"/>
      <c r="O204" s="75"/>
      <c r="P204" s="75"/>
      <c r="Q204" s="75"/>
      <c r="R204" s="75"/>
      <c r="S204" s="75"/>
      <c r="T204" s="75"/>
      <c r="U204" s="75"/>
      <c r="V204" s="75"/>
      <c r="W204" s="80"/>
      <c r="X204" s="75"/>
      <c r="Y204" s="75"/>
      <c r="Z204" s="75"/>
      <c r="AA204" s="75"/>
      <c r="AB204" s="75"/>
    </row>
    <row r="205" spans="1:28" x14ac:dyDescent="0.3">
      <c r="A205" s="67">
        <v>204</v>
      </c>
      <c r="B205" s="76"/>
      <c r="C205" s="76"/>
      <c r="D205" s="76"/>
      <c r="E205" s="71"/>
      <c r="F205" s="71"/>
      <c r="G205" s="80"/>
      <c r="H205" s="71"/>
      <c r="I205" s="67" t="str">
        <f t="shared" si="13"/>
        <v/>
      </c>
      <c r="J205" s="67" t="str">
        <f t="shared" si="14"/>
        <v/>
      </c>
      <c r="K205" s="67"/>
      <c r="L205" s="67"/>
      <c r="M205" s="67"/>
      <c r="N205" s="75"/>
      <c r="O205" s="75"/>
      <c r="P205" s="75"/>
      <c r="Q205" s="75"/>
      <c r="R205" s="75"/>
      <c r="S205" s="75"/>
      <c r="T205" s="75"/>
      <c r="U205" s="75"/>
      <c r="V205" s="75"/>
      <c r="W205" s="80"/>
      <c r="X205" s="75"/>
      <c r="Y205" s="75"/>
      <c r="Z205" s="75"/>
      <c r="AA205" s="75"/>
      <c r="AB205" s="75"/>
    </row>
    <row r="206" spans="1:28" x14ac:dyDescent="0.3">
      <c r="A206" s="67">
        <v>205</v>
      </c>
      <c r="B206" s="76"/>
      <c r="C206" s="76"/>
      <c r="D206" s="76"/>
      <c r="E206" s="71"/>
      <c r="F206" s="71"/>
      <c r="G206" s="80"/>
      <c r="H206" s="71"/>
      <c r="I206" s="67" t="str">
        <f t="shared" si="13"/>
        <v/>
      </c>
      <c r="J206" s="67" t="str">
        <f t="shared" si="14"/>
        <v/>
      </c>
      <c r="K206" s="67"/>
      <c r="L206" s="67"/>
      <c r="M206" s="67"/>
      <c r="N206" s="75"/>
      <c r="O206" s="75"/>
      <c r="P206" s="75"/>
      <c r="Q206" s="75"/>
      <c r="R206" s="75"/>
      <c r="S206" s="75"/>
      <c r="T206" s="75"/>
      <c r="U206" s="75"/>
      <c r="V206" s="75"/>
      <c r="W206" s="80"/>
      <c r="X206" s="75"/>
      <c r="Y206" s="75"/>
      <c r="Z206" s="75"/>
      <c r="AA206" s="75"/>
      <c r="AB206" s="75"/>
    </row>
    <row r="207" spans="1:28" x14ac:dyDescent="0.3">
      <c r="A207" s="67">
        <v>206</v>
      </c>
      <c r="B207" s="76"/>
      <c r="C207" s="76"/>
      <c r="D207" s="76"/>
      <c r="E207" s="71"/>
      <c r="F207" s="71"/>
      <c r="G207" s="80"/>
      <c r="H207" s="71"/>
      <c r="I207" s="67" t="str">
        <f t="shared" si="13"/>
        <v/>
      </c>
      <c r="J207" s="67" t="str">
        <f t="shared" si="14"/>
        <v/>
      </c>
      <c r="K207" s="67"/>
      <c r="L207" s="67"/>
      <c r="M207" s="67"/>
      <c r="N207" s="75"/>
      <c r="O207" s="75"/>
      <c r="P207" s="75"/>
      <c r="Q207" s="75"/>
      <c r="R207" s="75"/>
      <c r="S207" s="75"/>
      <c r="T207" s="75"/>
      <c r="U207" s="75"/>
      <c r="V207" s="75"/>
      <c r="W207" s="80"/>
      <c r="X207" s="75"/>
      <c r="Y207" s="75"/>
      <c r="Z207" s="75"/>
      <c r="AA207" s="75"/>
      <c r="AB207" s="75"/>
    </row>
    <row r="208" spans="1:28" x14ac:dyDescent="0.3">
      <c r="A208" s="67">
        <v>207</v>
      </c>
      <c r="B208" s="76"/>
      <c r="C208" s="76"/>
      <c r="D208" s="76"/>
      <c r="E208" s="71"/>
      <c r="F208" s="71"/>
      <c r="G208" s="80"/>
      <c r="H208" s="71"/>
      <c r="I208" s="67" t="str">
        <f t="shared" si="13"/>
        <v/>
      </c>
      <c r="J208" s="67" t="str">
        <f t="shared" si="14"/>
        <v/>
      </c>
      <c r="K208" s="67"/>
      <c r="L208" s="67"/>
      <c r="M208" s="67"/>
      <c r="N208" s="75"/>
      <c r="O208" s="75"/>
      <c r="P208" s="75"/>
      <c r="Q208" s="75"/>
      <c r="R208" s="75"/>
      <c r="S208" s="75"/>
      <c r="T208" s="75"/>
      <c r="U208" s="75"/>
      <c r="V208" s="75"/>
      <c r="W208" s="80"/>
      <c r="X208" s="75"/>
      <c r="Y208" s="75"/>
      <c r="Z208" s="75"/>
      <c r="AA208" s="75"/>
      <c r="AB208" s="75"/>
    </row>
    <row r="209" spans="1:28" x14ac:dyDescent="0.3">
      <c r="A209" s="67">
        <v>208</v>
      </c>
      <c r="B209" s="76"/>
      <c r="C209" s="76"/>
      <c r="D209" s="76"/>
      <c r="E209" s="71"/>
      <c r="F209" s="71"/>
      <c r="G209" s="80"/>
      <c r="H209" s="71"/>
      <c r="I209" s="67" t="str">
        <f t="shared" si="13"/>
        <v/>
      </c>
      <c r="J209" s="67" t="str">
        <f t="shared" si="14"/>
        <v/>
      </c>
      <c r="K209" s="67"/>
      <c r="L209" s="67"/>
      <c r="M209" s="67"/>
      <c r="N209" s="75"/>
      <c r="O209" s="75"/>
      <c r="P209" s="75"/>
      <c r="Q209" s="75"/>
      <c r="R209" s="75"/>
      <c r="S209" s="75"/>
      <c r="T209" s="75"/>
      <c r="U209" s="75"/>
      <c r="V209" s="75"/>
      <c r="W209" s="80"/>
      <c r="X209" s="75"/>
      <c r="Y209" s="75"/>
      <c r="Z209" s="75"/>
      <c r="AA209" s="75"/>
      <c r="AB209" s="75"/>
    </row>
    <row r="210" spans="1:28" x14ac:dyDescent="0.3">
      <c r="A210" s="67">
        <v>209</v>
      </c>
      <c r="B210" s="76"/>
      <c r="C210" s="76"/>
      <c r="D210" s="76"/>
      <c r="E210" s="71"/>
      <c r="F210" s="71"/>
      <c r="G210" s="80"/>
      <c r="H210" s="71"/>
      <c r="I210" s="67" t="str">
        <f t="shared" si="13"/>
        <v/>
      </c>
      <c r="J210" s="67" t="str">
        <f t="shared" si="14"/>
        <v/>
      </c>
      <c r="K210" s="67"/>
      <c r="L210" s="67"/>
      <c r="M210" s="67"/>
      <c r="N210" s="75"/>
      <c r="O210" s="75"/>
      <c r="P210" s="75"/>
      <c r="Q210" s="75"/>
      <c r="R210" s="75"/>
      <c r="S210" s="75"/>
      <c r="T210" s="75"/>
      <c r="U210" s="75"/>
      <c r="V210" s="75"/>
      <c r="W210" s="80"/>
      <c r="X210" s="75"/>
      <c r="Y210" s="75"/>
      <c r="Z210" s="75"/>
      <c r="AA210" s="75"/>
      <c r="AB210" s="75"/>
    </row>
    <row r="211" spans="1:28" x14ac:dyDescent="0.3">
      <c r="A211" s="67">
        <v>210</v>
      </c>
      <c r="B211" s="76"/>
      <c r="C211" s="76"/>
      <c r="D211" s="76"/>
      <c r="E211" s="71"/>
      <c r="F211" s="71"/>
      <c r="G211" s="80"/>
      <c r="H211" s="71"/>
      <c r="I211" s="67" t="str">
        <f t="shared" si="13"/>
        <v/>
      </c>
      <c r="J211" s="67" t="str">
        <f t="shared" si="14"/>
        <v/>
      </c>
      <c r="K211" s="67"/>
      <c r="L211" s="67"/>
      <c r="M211" s="67"/>
      <c r="N211" s="75"/>
      <c r="O211" s="75"/>
      <c r="P211" s="75"/>
      <c r="Q211" s="75"/>
      <c r="R211" s="75"/>
      <c r="S211" s="75"/>
      <c r="T211" s="75"/>
      <c r="U211" s="75"/>
      <c r="V211" s="75"/>
      <c r="W211" s="80"/>
      <c r="X211" s="75"/>
      <c r="Y211" s="75"/>
      <c r="Z211" s="75"/>
      <c r="AA211" s="75"/>
      <c r="AB211" s="75"/>
    </row>
    <row r="212" spans="1:28" x14ac:dyDescent="0.3">
      <c r="A212" s="67">
        <v>211</v>
      </c>
      <c r="B212" s="76"/>
      <c r="C212" s="76"/>
      <c r="D212" s="76"/>
      <c r="E212" s="71"/>
      <c r="F212" s="71"/>
      <c r="G212" s="80"/>
      <c r="H212" s="71"/>
      <c r="I212" s="67" t="str">
        <f t="shared" si="13"/>
        <v/>
      </c>
      <c r="J212" s="67" t="str">
        <f t="shared" si="14"/>
        <v/>
      </c>
      <c r="K212" s="67"/>
      <c r="L212" s="67"/>
      <c r="M212" s="67"/>
      <c r="N212" s="75"/>
      <c r="O212" s="75"/>
      <c r="P212" s="75"/>
      <c r="Q212" s="75"/>
      <c r="R212" s="75"/>
      <c r="S212" s="75"/>
      <c r="T212" s="75"/>
      <c r="U212" s="75"/>
      <c r="V212" s="75"/>
      <c r="W212" s="80"/>
      <c r="X212" s="75"/>
      <c r="Y212" s="75"/>
      <c r="Z212" s="75"/>
      <c r="AA212" s="75"/>
      <c r="AB212" s="75"/>
    </row>
    <row r="213" spans="1:28" x14ac:dyDescent="0.3">
      <c r="A213" s="67">
        <v>212</v>
      </c>
      <c r="B213" s="76"/>
      <c r="C213" s="76"/>
      <c r="D213" s="76"/>
      <c r="E213" s="71"/>
      <c r="F213" s="71"/>
      <c r="G213" s="80"/>
      <c r="H213" s="71"/>
      <c r="I213" s="67" t="str">
        <f t="shared" si="13"/>
        <v/>
      </c>
      <c r="J213" s="67" t="str">
        <f t="shared" si="14"/>
        <v/>
      </c>
      <c r="K213" s="67"/>
      <c r="L213" s="67"/>
      <c r="M213" s="67"/>
      <c r="N213" s="75"/>
      <c r="O213" s="75"/>
      <c r="P213" s="75"/>
      <c r="Q213" s="75"/>
      <c r="R213" s="75"/>
      <c r="S213" s="75"/>
      <c r="T213" s="75"/>
      <c r="U213" s="75"/>
      <c r="V213" s="75"/>
      <c r="W213" s="80"/>
      <c r="X213" s="75"/>
      <c r="Y213" s="75"/>
      <c r="Z213" s="75"/>
      <c r="AA213" s="75"/>
      <c r="AB213" s="75"/>
    </row>
    <row r="214" spans="1:28" x14ac:dyDescent="0.3">
      <c r="A214" s="67">
        <v>213</v>
      </c>
      <c r="B214" s="76"/>
      <c r="C214" s="76"/>
      <c r="D214" s="76"/>
      <c r="E214" s="71"/>
      <c r="F214" s="71"/>
      <c r="G214" s="80"/>
      <c r="H214" s="71"/>
      <c r="I214" s="67" t="str">
        <f t="shared" si="13"/>
        <v/>
      </c>
      <c r="J214" s="67" t="str">
        <f t="shared" si="14"/>
        <v/>
      </c>
      <c r="K214" s="67"/>
      <c r="L214" s="67"/>
      <c r="M214" s="67"/>
      <c r="N214" s="75"/>
      <c r="O214" s="75"/>
      <c r="P214" s="75"/>
      <c r="Q214" s="75"/>
      <c r="R214" s="75"/>
      <c r="S214" s="75"/>
      <c r="T214" s="75"/>
      <c r="U214" s="75"/>
      <c r="V214" s="75"/>
      <c r="W214" s="80"/>
      <c r="X214" s="75"/>
      <c r="Y214" s="75"/>
      <c r="Z214" s="75"/>
      <c r="AA214" s="75"/>
      <c r="AB214" s="75"/>
    </row>
    <row r="215" spans="1:28" x14ac:dyDescent="0.3">
      <c r="A215" s="67">
        <v>214</v>
      </c>
      <c r="B215" s="76"/>
      <c r="C215" s="76"/>
      <c r="D215" s="76"/>
      <c r="E215" s="71"/>
      <c r="F215" s="71"/>
      <c r="G215" s="80"/>
      <c r="H215" s="71"/>
      <c r="I215" s="67" t="str">
        <f t="shared" si="13"/>
        <v/>
      </c>
      <c r="J215" s="67" t="str">
        <f t="shared" si="14"/>
        <v/>
      </c>
      <c r="K215" s="67"/>
      <c r="L215" s="67"/>
      <c r="M215" s="67"/>
      <c r="N215" s="75"/>
      <c r="O215" s="75"/>
      <c r="P215" s="75"/>
      <c r="Q215" s="75"/>
      <c r="R215" s="75"/>
      <c r="S215" s="75"/>
      <c r="T215" s="75"/>
      <c r="U215" s="75"/>
      <c r="V215" s="75"/>
      <c r="W215" s="80"/>
      <c r="X215" s="75"/>
      <c r="Y215" s="75"/>
      <c r="Z215" s="75"/>
      <c r="AA215" s="75"/>
      <c r="AB215" s="75"/>
    </row>
    <row r="216" spans="1:28" x14ac:dyDescent="0.3">
      <c r="A216" s="67">
        <v>215</v>
      </c>
      <c r="B216" s="76"/>
      <c r="C216" s="76"/>
      <c r="D216" s="76"/>
      <c r="E216" s="71"/>
      <c r="F216" s="71"/>
      <c r="G216" s="80"/>
      <c r="H216" s="71"/>
      <c r="I216" s="67" t="str">
        <f t="shared" si="13"/>
        <v/>
      </c>
      <c r="J216" s="67" t="str">
        <f t="shared" si="14"/>
        <v/>
      </c>
      <c r="K216" s="67"/>
      <c r="L216" s="67"/>
      <c r="M216" s="67"/>
      <c r="N216" s="75"/>
      <c r="O216" s="75"/>
      <c r="P216" s="75"/>
      <c r="Q216" s="75"/>
      <c r="R216" s="75"/>
      <c r="S216" s="75"/>
      <c r="T216" s="75"/>
      <c r="U216" s="75"/>
      <c r="V216" s="75"/>
      <c r="W216" s="80"/>
      <c r="X216" s="75"/>
      <c r="Y216" s="75"/>
      <c r="Z216" s="75"/>
      <c r="AA216" s="75"/>
      <c r="AB216" s="75"/>
    </row>
    <row r="217" spans="1:28" x14ac:dyDescent="0.3">
      <c r="A217" s="67">
        <v>216</v>
      </c>
      <c r="B217" s="76"/>
      <c r="C217" s="76"/>
      <c r="D217" s="76"/>
      <c r="E217" s="71"/>
      <c r="F217" s="71"/>
      <c r="G217" s="80"/>
      <c r="H217" s="71"/>
      <c r="I217" s="67" t="str">
        <f t="shared" si="13"/>
        <v/>
      </c>
      <c r="J217" s="67" t="str">
        <f t="shared" si="14"/>
        <v/>
      </c>
      <c r="K217" s="67"/>
      <c r="L217" s="67"/>
      <c r="M217" s="67"/>
      <c r="N217" s="75"/>
      <c r="O217" s="75"/>
      <c r="P217" s="75"/>
      <c r="Q217" s="75"/>
      <c r="R217" s="75"/>
      <c r="S217" s="75"/>
      <c r="T217" s="75"/>
      <c r="U217" s="75"/>
      <c r="V217" s="75"/>
      <c r="W217" s="80"/>
      <c r="X217" s="75"/>
      <c r="Y217" s="75"/>
      <c r="Z217" s="75"/>
      <c r="AA217" s="75"/>
      <c r="AB217" s="75"/>
    </row>
    <row r="218" spans="1:28" x14ac:dyDescent="0.3">
      <c r="A218" s="67">
        <v>217</v>
      </c>
      <c r="B218" s="76"/>
      <c r="C218" s="76"/>
      <c r="D218" s="76"/>
      <c r="E218" s="71"/>
      <c r="F218" s="71"/>
      <c r="G218" s="80"/>
      <c r="H218" s="71"/>
      <c r="I218" s="67" t="str">
        <f t="shared" si="13"/>
        <v/>
      </c>
      <c r="J218" s="67" t="str">
        <f t="shared" si="14"/>
        <v/>
      </c>
      <c r="K218" s="67"/>
      <c r="L218" s="67"/>
      <c r="M218" s="67"/>
      <c r="N218" s="75"/>
      <c r="O218" s="75"/>
      <c r="P218" s="75"/>
      <c r="Q218" s="75"/>
      <c r="R218" s="75"/>
      <c r="S218" s="75"/>
      <c r="T218" s="75"/>
      <c r="U218" s="75"/>
      <c r="V218" s="75"/>
      <c r="W218" s="80"/>
      <c r="X218" s="75"/>
      <c r="Y218" s="75"/>
      <c r="Z218" s="75"/>
      <c r="AA218" s="75"/>
      <c r="AB218" s="75"/>
    </row>
    <row r="219" spans="1:28" x14ac:dyDescent="0.3">
      <c r="A219" s="67">
        <v>218</v>
      </c>
      <c r="B219" s="76"/>
      <c r="C219" s="76"/>
      <c r="D219" s="76"/>
      <c r="E219" s="71"/>
      <c r="F219" s="71"/>
      <c r="G219" s="80"/>
      <c r="H219" s="71"/>
      <c r="I219" s="67" t="str">
        <f t="shared" si="13"/>
        <v/>
      </c>
      <c r="J219" s="67" t="str">
        <f t="shared" si="14"/>
        <v/>
      </c>
      <c r="K219" s="67"/>
      <c r="L219" s="67"/>
      <c r="M219" s="67"/>
      <c r="N219" s="75"/>
      <c r="O219" s="75"/>
      <c r="P219" s="75"/>
      <c r="Q219" s="75"/>
      <c r="R219" s="75"/>
      <c r="S219" s="75"/>
      <c r="T219" s="75"/>
      <c r="U219" s="75"/>
      <c r="V219" s="75"/>
      <c r="W219" s="80"/>
      <c r="X219" s="75"/>
      <c r="Y219" s="75"/>
      <c r="Z219" s="75"/>
      <c r="AA219" s="75"/>
      <c r="AB219" s="75"/>
    </row>
    <row r="220" spans="1:28" x14ac:dyDescent="0.3">
      <c r="A220" s="67">
        <v>219</v>
      </c>
      <c r="B220" s="76"/>
      <c r="C220" s="76"/>
      <c r="D220" s="76"/>
      <c r="E220" s="71"/>
      <c r="F220" s="71"/>
      <c r="G220" s="80"/>
      <c r="H220" s="71"/>
      <c r="I220" s="67" t="str">
        <f t="shared" si="13"/>
        <v/>
      </c>
      <c r="J220" s="67" t="str">
        <f t="shared" si="14"/>
        <v/>
      </c>
      <c r="K220" s="67"/>
      <c r="L220" s="67"/>
      <c r="M220" s="67"/>
      <c r="N220" s="75"/>
      <c r="O220" s="75"/>
      <c r="P220" s="75"/>
      <c r="Q220" s="75"/>
      <c r="R220" s="75"/>
      <c r="S220" s="75"/>
      <c r="T220" s="75"/>
      <c r="U220" s="75"/>
      <c r="V220" s="75"/>
      <c r="W220" s="80"/>
      <c r="X220" s="75"/>
      <c r="Y220" s="75"/>
      <c r="Z220" s="75"/>
      <c r="AA220" s="75"/>
      <c r="AB220" s="75"/>
    </row>
    <row r="221" spans="1:28" x14ac:dyDescent="0.3">
      <c r="A221" s="67">
        <v>220</v>
      </c>
      <c r="B221" s="76"/>
      <c r="C221" s="76"/>
      <c r="D221" s="76"/>
      <c r="E221" s="71"/>
      <c r="F221" s="71"/>
      <c r="G221" s="80"/>
      <c r="H221" s="71"/>
      <c r="I221" s="67" t="str">
        <f t="shared" si="13"/>
        <v/>
      </c>
      <c r="J221" s="67" t="str">
        <f t="shared" si="14"/>
        <v/>
      </c>
      <c r="K221" s="67"/>
      <c r="L221" s="67"/>
      <c r="M221" s="67"/>
      <c r="N221" s="75"/>
      <c r="O221" s="75"/>
      <c r="P221" s="75"/>
      <c r="Q221" s="75"/>
      <c r="R221" s="75"/>
      <c r="S221" s="75"/>
      <c r="T221" s="75"/>
      <c r="U221" s="75"/>
      <c r="V221" s="75"/>
      <c r="W221" s="80"/>
      <c r="X221" s="75"/>
      <c r="Y221" s="75"/>
      <c r="Z221" s="75"/>
      <c r="AA221" s="75"/>
      <c r="AB221" s="75"/>
    </row>
    <row r="222" spans="1:28" x14ac:dyDescent="0.3">
      <c r="A222" s="67">
        <v>221</v>
      </c>
      <c r="B222" s="76"/>
      <c r="C222" s="76"/>
      <c r="D222" s="76"/>
      <c r="E222" s="71"/>
      <c r="F222" s="71"/>
      <c r="G222" s="80"/>
      <c r="H222" s="71"/>
      <c r="I222" s="67" t="str">
        <f t="shared" si="13"/>
        <v/>
      </c>
      <c r="J222" s="67" t="str">
        <f t="shared" si="14"/>
        <v/>
      </c>
      <c r="K222" s="67"/>
      <c r="L222" s="67"/>
      <c r="M222" s="67"/>
      <c r="N222" s="75"/>
      <c r="O222" s="75"/>
      <c r="P222" s="75"/>
      <c r="Q222" s="75"/>
      <c r="R222" s="75"/>
      <c r="S222" s="75"/>
      <c r="T222" s="75"/>
      <c r="U222" s="75"/>
      <c r="V222" s="75"/>
      <c r="W222" s="80"/>
      <c r="X222" s="75"/>
      <c r="Y222" s="75"/>
      <c r="Z222" s="75"/>
      <c r="AA222" s="75"/>
      <c r="AB222" s="75"/>
    </row>
    <row r="223" spans="1:28" x14ac:dyDescent="0.3">
      <c r="A223" s="67">
        <v>222</v>
      </c>
      <c r="B223" s="76"/>
      <c r="C223" s="76"/>
      <c r="D223" s="76"/>
      <c r="E223" s="71"/>
      <c r="F223" s="71"/>
      <c r="G223" s="80"/>
      <c r="H223" s="71"/>
      <c r="I223" s="67" t="str">
        <f t="shared" si="13"/>
        <v/>
      </c>
      <c r="J223" s="67" t="str">
        <f t="shared" si="14"/>
        <v/>
      </c>
      <c r="K223" s="67"/>
      <c r="L223" s="67"/>
      <c r="M223" s="67"/>
      <c r="N223" s="75"/>
      <c r="O223" s="75"/>
      <c r="P223" s="75"/>
      <c r="Q223" s="75"/>
      <c r="R223" s="75"/>
      <c r="S223" s="75"/>
      <c r="T223" s="75"/>
      <c r="U223" s="75"/>
      <c r="V223" s="75"/>
      <c r="W223" s="80"/>
      <c r="X223" s="75"/>
      <c r="Y223" s="75"/>
      <c r="Z223" s="75"/>
      <c r="AA223" s="75"/>
      <c r="AB223" s="75"/>
    </row>
    <row r="224" spans="1:28" x14ac:dyDescent="0.3">
      <c r="A224" s="67">
        <v>223</v>
      </c>
      <c r="B224" s="76"/>
      <c r="C224" s="76"/>
      <c r="D224" s="76"/>
      <c r="E224" s="71"/>
      <c r="F224" s="71"/>
      <c r="G224" s="80"/>
      <c r="H224" s="71"/>
      <c r="I224" s="67" t="str">
        <f t="shared" si="13"/>
        <v/>
      </c>
      <c r="J224" s="67" t="str">
        <f t="shared" si="14"/>
        <v/>
      </c>
      <c r="K224" s="67"/>
      <c r="L224" s="67"/>
      <c r="M224" s="67"/>
      <c r="N224" s="75"/>
      <c r="O224" s="75"/>
      <c r="P224" s="75"/>
      <c r="Q224" s="75"/>
      <c r="R224" s="75"/>
      <c r="S224" s="75"/>
      <c r="T224" s="75"/>
      <c r="U224" s="75"/>
      <c r="V224" s="75"/>
      <c r="W224" s="80"/>
      <c r="X224" s="75"/>
      <c r="Y224" s="75"/>
      <c r="Z224" s="75"/>
      <c r="AA224" s="75"/>
      <c r="AB224" s="75"/>
    </row>
    <row r="225" spans="1:28" x14ac:dyDescent="0.3">
      <c r="A225" s="67">
        <v>224</v>
      </c>
      <c r="B225" s="76"/>
      <c r="C225" s="76"/>
      <c r="D225" s="76"/>
      <c r="E225" s="71"/>
      <c r="F225" s="71"/>
      <c r="G225" s="80"/>
      <c r="H225" s="71"/>
      <c r="I225" s="67" t="str">
        <f t="shared" si="13"/>
        <v/>
      </c>
      <c r="J225" s="67" t="str">
        <f t="shared" si="14"/>
        <v/>
      </c>
      <c r="K225" s="67"/>
      <c r="L225" s="67"/>
      <c r="M225" s="67"/>
      <c r="N225" s="75"/>
      <c r="O225" s="75"/>
      <c r="P225" s="75"/>
      <c r="Q225" s="75"/>
      <c r="R225" s="75"/>
      <c r="S225" s="75"/>
      <c r="T225" s="75"/>
      <c r="U225" s="75"/>
      <c r="V225" s="75"/>
      <c r="W225" s="80"/>
      <c r="X225" s="75"/>
      <c r="Y225" s="75"/>
      <c r="Z225" s="75"/>
      <c r="AA225" s="75"/>
      <c r="AB225" s="75"/>
    </row>
    <row r="226" spans="1:28" x14ac:dyDescent="0.3">
      <c r="A226" s="67">
        <v>225</v>
      </c>
      <c r="B226" s="76"/>
      <c r="C226" s="76"/>
      <c r="D226" s="76"/>
      <c r="E226" s="71"/>
      <c r="F226" s="71"/>
      <c r="G226" s="80"/>
      <c r="H226" s="71"/>
      <c r="I226" s="67" t="str">
        <f t="shared" si="13"/>
        <v/>
      </c>
      <c r="J226" s="67" t="str">
        <f t="shared" si="14"/>
        <v/>
      </c>
      <c r="K226" s="67"/>
      <c r="L226" s="67"/>
      <c r="M226" s="67"/>
      <c r="N226" s="75"/>
      <c r="O226" s="75"/>
      <c r="P226" s="75"/>
      <c r="Q226" s="75"/>
      <c r="R226" s="75"/>
      <c r="S226" s="75"/>
      <c r="T226" s="75"/>
      <c r="U226" s="75"/>
      <c r="V226" s="75"/>
      <c r="W226" s="80"/>
      <c r="X226" s="75"/>
      <c r="Y226" s="75"/>
      <c r="Z226" s="75"/>
      <c r="AA226" s="75"/>
      <c r="AB226" s="75"/>
    </row>
    <row r="227" spans="1:28" x14ac:dyDescent="0.3">
      <c r="A227" s="67">
        <v>226</v>
      </c>
      <c r="B227" s="76"/>
      <c r="C227" s="76"/>
      <c r="D227" s="76"/>
      <c r="E227" s="71"/>
      <c r="F227" s="71"/>
      <c r="G227" s="80"/>
      <c r="H227" s="71"/>
      <c r="I227" s="67" t="str">
        <f t="shared" si="13"/>
        <v/>
      </c>
      <c r="J227" s="67" t="str">
        <f t="shared" si="14"/>
        <v/>
      </c>
      <c r="K227" s="67"/>
      <c r="L227" s="67"/>
      <c r="M227" s="67"/>
      <c r="N227" s="75"/>
      <c r="O227" s="75"/>
      <c r="P227" s="75"/>
      <c r="Q227" s="75"/>
      <c r="R227" s="75"/>
      <c r="S227" s="75"/>
      <c r="T227" s="75"/>
      <c r="U227" s="75"/>
      <c r="V227" s="75"/>
      <c r="W227" s="80"/>
      <c r="X227" s="75"/>
      <c r="Y227" s="75"/>
      <c r="Z227" s="75"/>
      <c r="AA227" s="75"/>
      <c r="AB227" s="75"/>
    </row>
    <row r="228" spans="1:28" x14ac:dyDescent="0.3">
      <c r="A228" s="67">
        <v>227</v>
      </c>
      <c r="B228" s="76"/>
      <c r="C228" s="76"/>
      <c r="D228" s="76"/>
      <c r="E228" s="71"/>
      <c r="F228" s="71"/>
      <c r="G228" s="80"/>
      <c r="H228" s="71"/>
      <c r="I228" s="67" t="str">
        <f t="shared" si="13"/>
        <v/>
      </c>
      <c r="J228" s="67" t="str">
        <f t="shared" si="14"/>
        <v/>
      </c>
      <c r="K228" s="67"/>
      <c r="L228" s="67"/>
      <c r="M228" s="67"/>
      <c r="N228" s="75"/>
      <c r="O228" s="75"/>
      <c r="P228" s="75"/>
      <c r="Q228" s="75"/>
      <c r="R228" s="75"/>
      <c r="S228" s="75"/>
      <c r="T228" s="75"/>
      <c r="U228" s="75"/>
      <c r="V228" s="75"/>
      <c r="W228" s="80"/>
      <c r="X228" s="75"/>
      <c r="Y228" s="75"/>
      <c r="Z228" s="75"/>
      <c r="AA228" s="75"/>
      <c r="AB228" s="75"/>
    </row>
    <row r="229" spans="1:28" x14ac:dyDescent="0.3">
      <c r="A229" s="67">
        <v>228</v>
      </c>
      <c r="B229" s="76"/>
      <c r="C229" s="76"/>
      <c r="D229" s="76"/>
      <c r="E229" s="71"/>
      <c r="F229" s="71"/>
      <c r="G229" s="80"/>
      <c r="H229" s="71"/>
      <c r="I229" s="67" t="str">
        <f t="shared" si="13"/>
        <v/>
      </c>
      <c r="J229" s="67" t="str">
        <f t="shared" si="14"/>
        <v/>
      </c>
      <c r="K229" s="67"/>
      <c r="L229" s="67"/>
      <c r="M229" s="67"/>
      <c r="N229" s="75"/>
      <c r="O229" s="75"/>
      <c r="P229" s="75"/>
      <c r="Q229" s="75"/>
      <c r="R229" s="75"/>
      <c r="S229" s="75"/>
      <c r="T229" s="75"/>
      <c r="U229" s="75"/>
      <c r="V229" s="75"/>
      <c r="W229" s="80"/>
      <c r="X229" s="75"/>
      <c r="Y229" s="75"/>
      <c r="Z229" s="75"/>
      <c r="AA229" s="75"/>
      <c r="AB229" s="75"/>
    </row>
    <row r="230" spans="1:28" x14ac:dyDescent="0.3">
      <c r="A230" s="67">
        <v>229</v>
      </c>
      <c r="B230" s="76"/>
      <c r="C230" s="76"/>
      <c r="D230" s="76"/>
      <c r="E230" s="71"/>
      <c r="F230" s="71"/>
      <c r="G230" s="80"/>
      <c r="H230" s="71"/>
      <c r="I230" s="67" t="str">
        <f t="shared" si="13"/>
        <v/>
      </c>
      <c r="J230" s="67" t="str">
        <f t="shared" si="14"/>
        <v/>
      </c>
      <c r="K230" s="67"/>
      <c r="L230" s="67"/>
      <c r="M230" s="67"/>
      <c r="N230" s="75"/>
      <c r="O230" s="75"/>
      <c r="P230" s="75"/>
      <c r="Q230" s="75"/>
      <c r="R230" s="75"/>
      <c r="S230" s="75"/>
      <c r="T230" s="75"/>
      <c r="U230" s="75"/>
      <c r="V230" s="75"/>
      <c r="W230" s="80"/>
      <c r="X230" s="75"/>
      <c r="Y230" s="75"/>
      <c r="Z230" s="75"/>
      <c r="AA230" s="75"/>
      <c r="AB230" s="75"/>
    </row>
    <row r="231" spans="1:28" x14ac:dyDescent="0.3">
      <c r="A231" s="67">
        <v>230</v>
      </c>
      <c r="B231" s="76"/>
      <c r="C231" s="76"/>
      <c r="D231" s="76"/>
      <c r="E231" s="71"/>
      <c r="F231" s="71"/>
      <c r="G231" s="80"/>
      <c r="H231" s="71"/>
      <c r="I231" s="67" t="str">
        <f t="shared" si="13"/>
        <v/>
      </c>
      <c r="J231" s="67" t="str">
        <f t="shared" si="14"/>
        <v/>
      </c>
      <c r="K231" s="67"/>
      <c r="L231" s="67"/>
      <c r="M231" s="67"/>
      <c r="N231" s="75"/>
      <c r="O231" s="75"/>
      <c r="P231" s="75"/>
      <c r="Q231" s="75"/>
      <c r="R231" s="75"/>
      <c r="S231" s="75"/>
      <c r="T231" s="75"/>
      <c r="U231" s="75"/>
      <c r="V231" s="75"/>
      <c r="W231" s="80"/>
      <c r="X231" s="75"/>
      <c r="Y231" s="75"/>
      <c r="Z231" s="75"/>
      <c r="AA231" s="75"/>
      <c r="AB231" s="75"/>
    </row>
    <row r="232" spans="1:28" x14ac:dyDescent="0.3">
      <c r="A232" s="67">
        <v>231</v>
      </c>
      <c r="B232" s="76"/>
      <c r="C232" s="76"/>
      <c r="D232" s="76"/>
      <c r="E232" s="71"/>
      <c r="F232" s="71"/>
      <c r="G232" s="80"/>
      <c r="H232" s="71"/>
      <c r="I232" s="67" t="str">
        <f t="shared" si="13"/>
        <v/>
      </c>
      <c r="J232" s="67" t="str">
        <f t="shared" si="14"/>
        <v/>
      </c>
      <c r="K232" s="67"/>
      <c r="L232" s="67"/>
      <c r="M232" s="67"/>
      <c r="N232" s="75"/>
      <c r="O232" s="75"/>
      <c r="P232" s="75"/>
      <c r="Q232" s="75"/>
      <c r="R232" s="75"/>
      <c r="S232" s="75"/>
      <c r="T232" s="75"/>
      <c r="U232" s="75"/>
      <c r="V232" s="75"/>
      <c r="W232" s="80"/>
      <c r="X232" s="75"/>
      <c r="Y232" s="75"/>
      <c r="Z232" s="75"/>
      <c r="AA232" s="75"/>
      <c r="AB232" s="75"/>
    </row>
    <row r="233" spans="1:28" x14ac:dyDescent="0.3">
      <c r="A233" s="67">
        <v>232</v>
      </c>
      <c r="B233" s="76"/>
      <c r="C233" s="76"/>
      <c r="D233" s="76"/>
      <c r="E233" s="71"/>
      <c r="F233" s="71"/>
      <c r="G233" s="80"/>
      <c r="H233" s="71"/>
      <c r="I233" s="67" t="str">
        <f t="shared" si="13"/>
        <v/>
      </c>
      <c r="J233" s="67" t="str">
        <f t="shared" si="14"/>
        <v/>
      </c>
      <c r="K233" s="67"/>
      <c r="L233" s="67"/>
      <c r="M233" s="67"/>
      <c r="N233" s="75"/>
      <c r="O233" s="75"/>
      <c r="P233" s="75"/>
      <c r="Q233" s="75"/>
      <c r="R233" s="75"/>
      <c r="S233" s="75"/>
      <c r="T233" s="75"/>
      <c r="U233" s="75"/>
      <c r="V233" s="75"/>
      <c r="W233" s="80"/>
      <c r="X233" s="75"/>
      <c r="Y233" s="75"/>
      <c r="Z233" s="75"/>
      <c r="AA233" s="75"/>
      <c r="AB233" s="75"/>
    </row>
    <row r="234" spans="1:28" x14ac:dyDescent="0.3">
      <c r="A234" s="67">
        <v>233</v>
      </c>
      <c r="B234" s="76"/>
      <c r="C234" s="76"/>
      <c r="D234" s="76"/>
      <c r="E234" s="71"/>
      <c r="F234" s="71"/>
      <c r="G234" s="80"/>
      <c r="H234" s="71"/>
      <c r="I234" s="67" t="str">
        <f t="shared" si="13"/>
        <v/>
      </c>
      <c r="J234" s="67" t="str">
        <f t="shared" si="14"/>
        <v/>
      </c>
      <c r="K234" s="67"/>
      <c r="L234" s="67"/>
      <c r="M234" s="67"/>
      <c r="N234" s="75"/>
      <c r="O234" s="75"/>
      <c r="P234" s="75"/>
      <c r="Q234" s="75"/>
      <c r="R234" s="75"/>
      <c r="S234" s="75"/>
      <c r="T234" s="75"/>
      <c r="U234" s="75"/>
      <c r="V234" s="75"/>
      <c r="W234" s="80"/>
      <c r="X234" s="75"/>
      <c r="Y234" s="75"/>
      <c r="Z234" s="75"/>
      <c r="AA234" s="75"/>
      <c r="AB234" s="75"/>
    </row>
    <row r="235" spans="1:28" x14ac:dyDescent="0.3">
      <c r="A235" s="67">
        <v>234</v>
      </c>
      <c r="B235" s="76"/>
      <c r="C235" s="76"/>
      <c r="D235" s="76"/>
      <c r="E235" s="71"/>
      <c r="F235" s="71"/>
      <c r="G235" s="80"/>
      <c r="H235" s="71"/>
      <c r="I235" s="67" t="str">
        <f t="shared" si="13"/>
        <v/>
      </c>
      <c r="J235" s="67" t="str">
        <f t="shared" si="14"/>
        <v/>
      </c>
      <c r="K235" s="67"/>
      <c r="L235" s="67"/>
      <c r="M235" s="67"/>
      <c r="N235" s="75"/>
      <c r="O235" s="75"/>
      <c r="P235" s="75"/>
      <c r="Q235" s="75"/>
      <c r="R235" s="75"/>
      <c r="S235" s="75"/>
      <c r="T235" s="75"/>
      <c r="U235" s="75"/>
      <c r="V235" s="75"/>
      <c r="W235" s="80"/>
      <c r="X235" s="75"/>
      <c r="Y235" s="75"/>
      <c r="Z235" s="75"/>
      <c r="AA235" s="75"/>
      <c r="AB235" s="75"/>
    </row>
    <row r="236" spans="1:28" x14ac:dyDescent="0.3">
      <c r="A236" s="67">
        <v>235</v>
      </c>
      <c r="B236" s="76"/>
      <c r="C236" s="76"/>
      <c r="D236" s="76"/>
      <c r="E236" s="71"/>
      <c r="F236" s="71"/>
      <c r="G236" s="80"/>
      <c r="H236" s="71"/>
      <c r="I236" s="67" t="str">
        <f t="shared" si="13"/>
        <v/>
      </c>
      <c r="J236" s="67" t="str">
        <f t="shared" si="14"/>
        <v/>
      </c>
      <c r="K236" s="67"/>
      <c r="L236" s="67"/>
      <c r="M236" s="67"/>
      <c r="N236" s="75"/>
      <c r="O236" s="75"/>
      <c r="P236" s="75"/>
      <c r="Q236" s="75"/>
      <c r="R236" s="75"/>
      <c r="S236" s="75"/>
      <c r="T236" s="75"/>
      <c r="U236" s="75"/>
      <c r="V236" s="75"/>
      <c r="W236" s="80"/>
      <c r="X236" s="75"/>
      <c r="Y236" s="75"/>
      <c r="Z236" s="75"/>
      <c r="AA236" s="75"/>
      <c r="AB236" s="75"/>
    </row>
    <row r="237" spans="1:28" x14ac:dyDescent="0.3">
      <c r="A237" s="67">
        <v>236</v>
      </c>
      <c r="B237" s="76"/>
      <c r="C237" s="76"/>
      <c r="D237" s="76"/>
      <c r="E237" s="71"/>
      <c r="F237" s="71"/>
      <c r="G237" s="80"/>
      <c r="H237" s="71"/>
      <c r="I237" s="67" t="str">
        <f t="shared" si="13"/>
        <v/>
      </c>
      <c r="J237" s="67" t="str">
        <f t="shared" si="14"/>
        <v/>
      </c>
      <c r="K237" s="67"/>
      <c r="L237" s="67"/>
      <c r="M237" s="67"/>
      <c r="N237" s="75"/>
      <c r="O237" s="75"/>
      <c r="P237" s="75"/>
      <c r="Q237" s="75"/>
      <c r="R237" s="75"/>
      <c r="S237" s="75"/>
      <c r="T237" s="75"/>
      <c r="U237" s="75"/>
      <c r="V237" s="75"/>
      <c r="W237" s="80"/>
      <c r="X237" s="75"/>
      <c r="Y237" s="75"/>
      <c r="Z237" s="75"/>
      <c r="AA237" s="75"/>
      <c r="AB237" s="75"/>
    </row>
    <row r="238" spans="1:28" x14ac:dyDescent="0.3">
      <c r="A238" s="67">
        <v>237</v>
      </c>
      <c r="B238" s="76"/>
      <c r="C238" s="76"/>
      <c r="D238" s="76"/>
      <c r="E238" s="71"/>
      <c r="F238" s="71"/>
      <c r="G238" s="80"/>
      <c r="H238" s="71"/>
      <c r="I238" s="67" t="str">
        <f t="shared" si="13"/>
        <v/>
      </c>
      <c r="J238" s="67" t="str">
        <f t="shared" si="14"/>
        <v/>
      </c>
      <c r="K238" s="67"/>
      <c r="L238" s="67"/>
      <c r="M238" s="67"/>
      <c r="N238" s="75"/>
      <c r="O238" s="75"/>
      <c r="P238" s="75"/>
      <c r="Q238" s="75"/>
      <c r="R238" s="75"/>
      <c r="S238" s="75"/>
      <c r="T238" s="75"/>
      <c r="U238" s="75"/>
      <c r="V238" s="75"/>
      <c r="W238" s="80"/>
      <c r="X238" s="75"/>
      <c r="Y238" s="75"/>
      <c r="Z238" s="75"/>
      <c r="AA238" s="75"/>
      <c r="AB238" s="75"/>
    </row>
    <row r="239" spans="1:28" x14ac:dyDescent="0.3">
      <c r="A239" s="67">
        <v>238</v>
      </c>
      <c r="B239" s="76"/>
      <c r="C239" s="76"/>
      <c r="D239" s="76"/>
      <c r="E239" s="71"/>
      <c r="F239" s="71"/>
      <c r="G239" s="80"/>
      <c r="H239" s="71"/>
      <c r="I239" s="67" t="str">
        <f t="shared" si="13"/>
        <v/>
      </c>
      <c r="J239" s="67" t="str">
        <f t="shared" si="14"/>
        <v/>
      </c>
      <c r="K239" s="67"/>
      <c r="L239" s="67"/>
      <c r="M239" s="67"/>
      <c r="N239" s="75"/>
      <c r="O239" s="75"/>
      <c r="P239" s="75"/>
      <c r="Q239" s="75"/>
      <c r="R239" s="75"/>
      <c r="S239" s="75"/>
      <c r="T239" s="75"/>
      <c r="U239" s="75"/>
      <c r="V239" s="75"/>
      <c r="W239" s="80"/>
      <c r="X239" s="75"/>
      <c r="Y239" s="75"/>
      <c r="Z239" s="75"/>
      <c r="AA239" s="75"/>
      <c r="AB239" s="75"/>
    </row>
    <row r="240" spans="1:28" x14ac:dyDescent="0.3">
      <c r="A240" s="67">
        <v>239</v>
      </c>
      <c r="B240" s="76"/>
      <c r="C240" s="76"/>
      <c r="D240" s="76"/>
      <c r="E240" s="71"/>
      <c r="F240" s="71"/>
      <c r="G240" s="80"/>
      <c r="H240" s="71"/>
      <c r="I240" s="67" t="str">
        <f t="shared" si="13"/>
        <v/>
      </c>
      <c r="J240" s="67" t="str">
        <f t="shared" si="14"/>
        <v/>
      </c>
      <c r="K240" s="67"/>
      <c r="L240" s="67"/>
      <c r="M240" s="67"/>
      <c r="N240" s="75"/>
      <c r="O240" s="75"/>
      <c r="P240" s="75"/>
      <c r="Q240" s="75"/>
      <c r="R240" s="75"/>
      <c r="S240" s="75"/>
      <c r="T240" s="75"/>
      <c r="U240" s="75"/>
      <c r="V240" s="75"/>
      <c r="W240" s="80"/>
      <c r="X240" s="75"/>
      <c r="Y240" s="75"/>
      <c r="Z240" s="75"/>
      <c r="AA240" s="75"/>
      <c r="AB240" s="75"/>
    </row>
    <row r="241" spans="1:28" x14ac:dyDescent="0.3">
      <c r="A241" s="67">
        <v>240</v>
      </c>
      <c r="B241" s="76"/>
      <c r="C241" s="76"/>
      <c r="D241" s="76"/>
      <c r="E241" s="71"/>
      <c r="F241" s="71"/>
      <c r="G241" s="80"/>
      <c r="H241" s="71"/>
      <c r="I241" s="67" t="str">
        <f t="shared" si="13"/>
        <v/>
      </c>
      <c r="J241" s="67" t="str">
        <f t="shared" si="14"/>
        <v/>
      </c>
      <c r="K241" s="67"/>
      <c r="L241" s="67"/>
      <c r="M241" s="67"/>
      <c r="N241" s="75"/>
      <c r="O241" s="75"/>
      <c r="P241" s="75"/>
      <c r="Q241" s="75"/>
      <c r="R241" s="75"/>
      <c r="S241" s="75"/>
      <c r="T241" s="75"/>
      <c r="U241" s="75"/>
      <c r="V241" s="75"/>
      <c r="W241" s="80"/>
      <c r="X241" s="75"/>
      <c r="Y241" s="75"/>
      <c r="Z241" s="75"/>
      <c r="AA241" s="75"/>
      <c r="AB241" s="75"/>
    </row>
    <row r="242" spans="1:28" x14ac:dyDescent="0.3">
      <c r="A242" s="67">
        <v>241</v>
      </c>
      <c r="B242" s="76"/>
      <c r="C242" s="76"/>
      <c r="D242" s="76"/>
      <c r="E242" s="71"/>
      <c r="F242" s="71"/>
      <c r="G242" s="80"/>
      <c r="H242" s="71"/>
      <c r="I242" s="67" t="str">
        <f t="shared" si="13"/>
        <v/>
      </c>
      <c r="J242" s="67" t="str">
        <f t="shared" si="14"/>
        <v/>
      </c>
      <c r="K242" s="67"/>
      <c r="L242" s="67"/>
      <c r="M242" s="67"/>
      <c r="N242" s="75"/>
      <c r="O242" s="75"/>
      <c r="P242" s="75"/>
      <c r="Q242" s="75"/>
      <c r="R242" s="75"/>
      <c r="S242" s="75"/>
      <c r="T242" s="75"/>
      <c r="U242" s="75"/>
      <c r="V242" s="75"/>
      <c r="W242" s="80"/>
      <c r="X242" s="75"/>
      <c r="Y242" s="75"/>
      <c r="Z242" s="75"/>
      <c r="AA242" s="75"/>
      <c r="AB242" s="75"/>
    </row>
    <row r="243" spans="1:28" x14ac:dyDescent="0.3">
      <c r="A243" s="67">
        <v>242</v>
      </c>
      <c r="B243" s="76"/>
      <c r="C243" s="76"/>
      <c r="D243" s="76"/>
      <c r="E243" s="71"/>
      <c r="F243" s="71"/>
      <c r="G243" s="80"/>
      <c r="H243" s="71"/>
      <c r="I243" s="67" t="str">
        <f t="shared" si="13"/>
        <v/>
      </c>
      <c r="J243" s="67" t="str">
        <f t="shared" si="14"/>
        <v/>
      </c>
      <c r="K243" s="67"/>
      <c r="L243" s="67"/>
      <c r="M243" s="67"/>
      <c r="N243" s="75"/>
      <c r="O243" s="75"/>
      <c r="P243" s="75"/>
      <c r="Q243" s="75"/>
      <c r="R243" s="75"/>
      <c r="S243" s="75"/>
      <c r="T243" s="75"/>
      <c r="U243" s="75"/>
      <c r="V243" s="75"/>
      <c r="W243" s="80"/>
      <c r="X243" s="75"/>
      <c r="Y243" s="75"/>
      <c r="Z243" s="75"/>
      <c r="AA243" s="75"/>
      <c r="AB243" s="75"/>
    </row>
    <row r="244" spans="1:28" x14ac:dyDescent="0.3">
      <c r="A244" s="67">
        <v>243</v>
      </c>
      <c r="B244" s="76"/>
      <c r="C244" s="76"/>
      <c r="D244" s="76"/>
      <c r="E244" s="71"/>
      <c r="F244" s="71"/>
      <c r="G244" s="80"/>
      <c r="H244" s="71"/>
      <c r="I244" s="67" t="str">
        <f t="shared" si="13"/>
        <v/>
      </c>
      <c r="J244" s="67" t="str">
        <f t="shared" si="14"/>
        <v/>
      </c>
      <c r="K244" s="67"/>
      <c r="L244" s="67"/>
      <c r="M244" s="67"/>
      <c r="N244" s="75"/>
      <c r="O244" s="75"/>
      <c r="P244" s="75"/>
      <c r="Q244" s="75"/>
      <c r="R244" s="75"/>
      <c r="S244" s="75"/>
      <c r="T244" s="75"/>
      <c r="U244" s="75"/>
      <c r="V244" s="75"/>
      <c r="W244" s="80"/>
      <c r="X244" s="75"/>
      <c r="Y244" s="75"/>
      <c r="Z244" s="75"/>
      <c r="AA244" s="75"/>
      <c r="AB244" s="75"/>
    </row>
    <row r="245" spans="1:28" x14ac:dyDescent="0.3">
      <c r="A245" s="67">
        <v>244</v>
      </c>
      <c r="B245" s="76"/>
      <c r="C245" s="76"/>
      <c r="D245" s="76"/>
      <c r="E245" s="71"/>
      <c r="F245" s="71"/>
      <c r="G245" s="80"/>
      <c r="H245" s="71"/>
      <c r="I245" s="67" t="str">
        <f t="shared" si="13"/>
        <v/>
      </c>
      <c r="J245" s="67" t="str">
        <f t="shared" si="14"/>
        <v/>
      </c>
      <c r="K245" s="67"/>
      <c r="L245" s="67"/>
      <c r="M245" s="67"/>
      <c r="N245" s="75"/>
      <c r="O245" s="75"/>
      <c r="P245" s="75"/>
      <c r="Q245" s="75"/>
      <c r="R245" s="75"/>
      <c r="S245" s="75"/>
      <c r="T245" s="75"/>
      <c r="U245" s="75"/>
      <c r="V245" s="75"/>
      <c r="W245" s="80"/>
      <c r="X245" s="75"/>
      <c r="Y245" s="75"/>
      <c r="Z245" s="75"/>
      <c r="AA245" s="75"/>
      <c r="AB245" s="75"/>
    </row>
    <row r="246" spans="1:28" x14ac:dyDescent="0.3">
      <c r="A246" s="67">
        <v>245</v>
      </c>
      <c r="B246" s="76"/>
      <c r="C246" s="76"/>
      <c r="D246" s="76"/>
      <c r="E246" s="71"/>
      <c r="F246" s="71"/>
      <c r="G246" s="80"/>
      <c r="H246" s="71"/>
      <c r="I246" s="67" t="str">
        <f t="shared" si="13"/>
        <v/>
      </c>
      <c r="J246" s="67" t="str">
        <f t="shared" si="14"/>
        <v/>
      </c>
      <c r="K246" s="67"/>
      <c r="L246" s="67"/>
      <c r="M246" s="67"/>
      <c r="N246" s="75"/>
      <c r="O246" s="75"/>
      <c r="P246" s="75"/>
      <c r="Q246" s="75"/>
      <c r="R246" s="75"/>
      <c r="S246" s="75"/>
      <c r="T246" s="75"/>
      <c r="U246" s="75"/>
      <c r="V246" s="75"/>
      <c r="W246" s="80"/>
      <c r="X246" s="75"/>
      <c r="Y246" s="75"/>
      <c r="Z246" s="75"/>
      <c r="AA246" s="75"/>
      <c r="AB246" s="75"/>
    </row>
    <row r="247" spans="1:28" x14ac:dyDescent="0.3">
      <c r="A247" s="67">
        <v>246</v>
      </c>
      <c r="B247" s="76"/>
      <c r="C247" s="76"/>
      <c r="D247" s="76"/>
      <c r="E247" s="71"/>
      <c r="F247" s="71"/>
      <c r="G247" s="80"/>
      <c r="H247" s="71"/>
      <c r="I247" s="67" t="str">
        <f t="shared" si="13"/>
        <v/>
      </c>
      <c r="J247" s="67" t="str">
        <f t="shared" si="14"/>
        <v/>
      </c>
      <c r="K247" s="67"/>
      <c r="L247" s="67"/>
      <c r="M247" s="67"/>
      <c r="N247" s="75"/>
      <c r="O247" s="75"/>
      <c r="P247" s="75"/>
      <c r="Q247" s="75"/>
      <c r="R247" s="75"/>
      <c r="S247" s="75"/>
      <c r="T247" s="75"/>
      <c r="U247" s="75"/>
      <c r="V247" s="75"/>
      <c r="W247" s="80"/>
      <c r="X247" s="75"/>
      <c r="Y247" s="75"/>
      <c r="Z247" s="75"/>
      <c r="AA247" s="75"/>
      <c r="AB247" s="75"/>
    </row>
    <row r="248" spans="1:28" x14ac:dyDescent="0.3">
      <c r="A248" s="67">
        <v>247</v>
      </c>
      <c r="B248" s="76"/>
      <c r="C248" s="76"/>
      <c r="D248" s="76"/>
      <c r="E248" s="71"/>
      <c r="F248" s="71"/>
      <c r="G248" s="80"/>
      <c r="H248" s="71"/>
      <c r="I248" s="67" t="str">
        <f t="shared" si="13"/>
        <v/>
      </c>
      <c r="J248" s="67" t="str">
        <f t="shared" si="14"/>
        <v/>
      </c>
      <c r="K248" s="67"/>
      <c r="L248" s="67"/>
      <c r="M248" s="67"/>
      <c r="N248" s="75"/>
      <c r="O248" s="75"/>
      <c r="P248" s="75"/>
      <c r="Q248" s="75"/>
      <c r="R248" s="75"/>
      <c r="S248" s="75"/>
      <c r="T248" s="75"/>
      <c r="U248" s="75"/>
      <c r="V248" s="75"/>
      <c r="W248" s="80"/>
      <c r="X248" s="75"/>
      <c r="Y248" s="75"/>
      <c r="Z248" s="75"/>
      <c r="AA248" s="75"/>
      <c r="AB248" s="75"/>
    </row>
    <row r="249" spans="1:28" x14ac:dyDescent="0.3">
      <c r="A249" s="67">
        <v>248</v>
      </c>
      <c r="B249" s="76"/>
      <c r="C249" s="76"/>
      <c r="D249" s="76"/>
      <c r="E249" s="71"/>
      <c r="F249" s="71"/>
      <c r="G249" s="80"/>
      <c r="H249" s="71"/>
      <c r="I249" s="67" t="str">
        <f t="shared" si="13"/>
        <v/>
      </c>
      <c r="J249" s="67" t="str">
        <f t="shared" si="14"/>
        <v/>
      </c>
      <c r="K249" s="67"/>
      <c r="L249" s="67"/>
      <c r="M249" s="67"/>
      <c r="N249" s="75"/>
      <c r="O249" s="75"/>
      <c r="P249" s="75"/>
      <c r="Q249" s="75"/>
      <c r="R249" s="75"/>
      <c r="S249" s="75"/>
      <c r="T249" s="75"/>
      <c r="U249" s="75"/>
      <c r="V249" s="75"/>
      <c r="W249" s="80"/>
      <c r="X249" s="75"/>
      <c r="Y249" s="75"/>
      <c r="Z249" s="75"/>
      <c r="AA249" s="75"/>
      <c r="AB249" s="75"/>
    </row>
    <row r="250" spans="1:28" x14ac:dyDescent="0.3">
      <c r="A250" s="67">
        <v>249</v>
      </c>
      <c r="B250" s="76"/>
      <c r="C250" s="76"/>
      <c r="D250" s="76"/>
      <c r="E250" s="71"/>
      <c r="F250" s="71"/>
      <c r="G250" s="80"/>
      <c r="H250" s="71"/>
      <c r="I250" s="67" t="str">
        <f t="shared" si="13"/>
        <v/>
      </c>
      <c r="J250" s="67" t="str">
        <f t="shared" si="14"/>
        <v/>
      </c>
      <c r="K250" s="67"/>
      <c r="L250" s="67"/>
      <c r="M250" s="67"/>
      <c r="N250" s="75"/>
      <c r="O250" s="75"/>
      <c r="P250" s="75"/>
      <c r="Q250" s="75"/>
      <c r="R250" s="75"/>
      <c r="S250" s="75"/>
      <c r="T250" s="75"/>
      <c r="U250" s="75"/>
      <c r="V250" s="75"/>
      <c r="W250" s="80"/>
      <c r="X250" s="75"/>
      <c r="Y250" s="75"/>
      <c r="Z250" s="75"/>
      <c r="AA250" s="75"/>
      <c r="AB250" s="75"/>
    </row>
    <row r="251" spans="1:28" x14ac:dyDescent="0.3">
      <c r="A251" s="67">
        <v>250</v>
      </c>
      <c r="B251" s="76"/>
      <c r="C251" s="76"/>
      <c r="D251" s="76"/>
      <c r="E251" s="71"/>
      <c r="F251" s="71"/>
      <c r="G251" s="80"/>
      <c r="H251" s="71"/>
      <c r="I251" s="67" t="str">
        <f t="shared" si="13"/>
        <v/>
      </c>
      <c r="J251" s="67" t="str">
        <f t="shared" si="14"/>
        <v/>
      </c>
      <c r="K251" s="67"/>
      <c r="L251" s="67"/>
      <c r="M251" s="67"/>
      <c r="N251" s="75"/>
      <c r="O251" s="75"/>
      <c r="P251" s="75"/>
      <c r="Q251" s="75"/>
      <c r="R251" s="75"/>
      <c r="S251" s="75"/>
      <c r="T251" s="75"/>
      <c r="U251" s="75"/>
      <c r="V251" s="75"/>
      <c r="W251" s="80"/>
      <c r="X251" s="75"/>
      <c r="Y251" s="75"/>
      <c r="Z251" s="75"/>
      <c r="AA251" s="75"/>
      <c r="AB251" s="75"/>
    </row>
    <row r="252" spans="1:28" x14ac:dyDescent="0.3">
      <c r="A252" s="67">
        <v>251</v>
      </c>
      <c r="B252" s="76"/>
      <c r="C252" s="76"/>
      <c r="D252" s="76"/>
      <c r="E252" s="71"/>
      <c r="F252" s="71"/>
      <c r="G252" s="80"/>
      <c r="H252" s="71"/>
      <c r="I252" s="67" t="str">
        <f t="shared" si="13"/>
        <v/>
      </c>
      <c r="J252" s="67" t="str">
        <f t="shared" si="14"/>
        <v/>
      </c>
      <c r="K252" s="67"/>
      <c r="L252" s="67"/>
      <c r="M252" s="67"/>
      <c r="N252" s="75"/>
      <c r="O252" s="75"/>
      <c r="P252" s="75"/>
      <c r="Q252" s="75"/>
      <c r="R252" s="75"/>
      <c r="S252" s="75"/>
      <c r="T252" s="75"/>
      <c r="U252" s="75"/>
      <c r="V252" s="75"/>
      <c r="W252" s="80"/>
      <c r="X252" s="75"/>
      <c r="Y252" s="75"/>
      <c r="Z252" s="75"/>
      <c r="AA252" s="75"/>
      <c r="AB252" s="75"/>
    </row>
    <row r="253" spans="1:28" x14ac:dyDescent="0.3">
      <c r="A253" s="67">
        <v>252</v>
      </c>
      <c r="B253" s="76"/>
      <c r="C253" s="76"/>
      <c r="D253" s="76"/>
      <c r="E253" s="71"/>
      <c r="F253" s="71"/>
      <c r="G253" s="80"/>
      <c r="H253" s="71"/>
      <c r="I253" s="67" t="str">
        <f t="shared" si="13"/>
        <v/>
      </c>
      <c r="J253" s="67" t="str">
        <f t="shared" si="14"/>
        <v/>
      </c>
      <c r="K253" s="67"/>
      <c r="L253" s="67"/>
      <c r="M253" s="67"/>
      <c r="N253" s="75"/>
      <c r="O253" s="75"/>
      <c r="P253" s="75"/>
      <c r="Q253" s="75"/>
      <c r="R253" s="75"/>
      <c r="S253" s="75"/>
      <c r="T253" s="75"/>
      <c r="U253" s="75"/>
      <c r="V253" s="75"/>
      <c r="W253" s="80"/>
      <c r="X253" s="75"/>
      <c r="Y253" s="75"/>
      <c r="Z253" s="75"/>
      <c r="AA253" s="75"/>
      <c r="AB253" s="75"/>
    </row>
    <row r="254" spans="1:28" x14ac:dyDescent="0.3">
      <c r="A254" s="67">
        <v>253</v>
      </c>
      <c r="B254" s="76"/>
      <c r="C254" s="76"/>
      <c r="D254" s="76"/>
      <c r="E254" s="71"/>
      <c r="F254" s="71"/>
      <c r="G254" s="80"/>
      <c r="H254" s="71"/>
      <c r="I254" s="67" t="str">
        <f t="shared" si="13"/>
        <v/>
      </c>
      <c r="J254" s="67" t="str">
        <f t="shared" si="14"/>
        <v/>
      </c>
      <c r="K254" s="67"/>
      <c r="L254" s="67"/>
      <c r="M254" s="67"/>
      <c r="N254" s="75"/>
      <c r="O254" s="75"/>
      <c r="P254" s="75"/>
      <c r="Q254" s="75"/>
      <c r="R254" s="75"/>
      <c r="S254" s="75"/>
      <c r="T254" s="75"/>
      <c r="U254" s="75"/>
      <c r="V254" s="75"/>
      <c r="W254" s="80"/>
      <c r="X254" s="75"/>
      <c r="Y254" s="75"/>
      <c r="Z254" s="75"/>
      <c r="AA254" s="75"/>
      <c r="AB254" s="75"/>
    </row>
    <row r="255" spans="1:28" x14ac:dyDescent="0.3">
      <c r="A255" s="67">
        <v>254</v>
      </c>
      <c r="B255" s="76"/>
      <c r="C255" s="76"/>
      <c r="D255" s="76"/>
      <c r="E255" s="71"/>
      <c r="F255" s="71"/>
      <c r="G255" s="80"/>
      <c r="H255" s="71"/>
      <c r="I255" s="67" t="str">
        <f t="shared" si="13"/>
        <v/>
      </c>
      <c r="J255" s="67" t="str">
        <f t="shared" si="14"/>
        <v/>
      </c>
      <c r="K255" s="67"/>
      <c r="L255" s="67"/>
      <c r="M255" s="67"/>
      <c r="N255" s="75"/>
      <c r="O255" s="75"/>
      <c r="P255" s="75"/>
      <c r="Q255" s="75"/>
      <c r="R255" s="75"/>
      <c r="S255" s="75"/>
      <c r="T255" s="75"/>
      <c r="U255" s="75"/>
      <c r="V255" s="75"/>
      <c r="W255" s="80"/>
      <c r="X255" s="75"/>
      <c r="Y255" s="75"/>
      <c r="Z255" s="75"/>
      <c r="AA255" s="75"/>
      <c r="AB255" s="75"/>
    </row>
    <row r="256" spans="1:28" x14ac:dyDescent="0.3">
      <c r="A256" s="67">
        <v>255</v>
      </c>
      <c r="B256" s="76"/>
      <c r="C256" s="76"/>
      <c r="D256" s="76"/>
      <c r="E256" s="71"/>
      <c r="F256" s="71"/>
      <c r="G256" s="80"/>
      <c r="H256" s="71"/>
      <c r="I256" s="67" t="str">
        <f t="shared" si="13"/>
        <v/>
      </c>
      <c r="J256" s="67" t="str">
        <f t="shared" si="14"/>
        <v/>
      </c>
      <c r="K256" s="67"/>
      <c r="L256" s="67"/>
      <c r="M256" s="67"/>
      <c r="N256" s="75"/>
      <c r="O256" s="75"/>
      <c r="P256" s="75"/>
      <c r="Q256" s="75"/>
      <c r="R256" s="75"/>
      <c r="S256" s="75"/>
      <c r="T256" s="75"/>
      <c r="U256" s="75"/>
      <c r="V256" s="75"/>
      <c r="W256" s="80"/>
      <c r="X256" s="75"/>
      <c r="Y256" s="75"/>
      <c r="Z256" s="75"/>
      <c r="AA256" s="75"/>
      <c r="AB256" s="75"/>
    </row>
    <row r="257" spans="1:28" x14ac:dyDescent="0.3">
      <c r="A257" s="67">
        <v>256</v>
      </c>
      <c r="B257" s="76"/>
      <c r="C257" s="76"/>
      <c r="D257" s="76"/>
      <c r="E257" s="71"/>
      <c r="F257" s="71"/>
      <c r="G257" s="80"/>
      <c r="H257" s="71"/>
      <c r="I257" s="67" t="str">
        <f t="shared" si="13"/>
        <v/>
      </c>
      <c r="J257" s="67" t="str">
        <f t="shared" si="14"/>
        <v/>
      </c>
      <c r="K257" s="67"/>
      <c r="L257" s="67"/>
      <c r="M257" s="67"/>
      <c r="N257" s="75"/>
      <c r="O257" s="75"/>
      <c r="P257" s="75"/>
      <c r="Q257" s="75"/>
      <c r="R257" s="75"/>
      <c r="S257" s="75"/>
      <c r="T257" s="75"/>
      <c r="U257" s="75"/>
      <c r="V257" s="75"/>
      <c r="W257" s="80"/>
      <c r="X257" s="75"/>
      <c r="Y257" s="75"/>
      <c r="Z257" s="75"/>
      <c r="AA257" s="75"/>
      <c r="AB257" s="75"/>
    </row>
    <row r="258" spans="1:28" x14ac:dyDescent="0.3">
      <c r="A258" s="67">
        <v>257</v>
      </c>
      <c r="B258" s="76"/>
      <c r="C258" s="76"/>
      <c r="D258" s="76"/>
      <c r="E258" s="71"/>
      <c r="F258" s="71"/>
      <c r="G258" s="80"/>
      <c r="H258" s="71"/>
      <c r="I258" s="67" t="str">
        <f t="shared" ref="I258:I301" si="15">IF($H258="","",IF(UPPER(TRIM($H258))="YES","YES",IF($N258&gt;=BASIC_CAP,"NO","YES")))</f>
        <v/>
      </c>
      <c r="J258" s="67" t="str">
        <f t="shared" ref="J258:J301" si="16">IF($G258="","",IF($G258&lt;=ESIC_LIMIT,"YES","NO"))</f>
        <v/>
      </c>
      <c r="K258" s="67"/>
      <c r="L258" s="67"/>
      <c r="M258" s="67"/>
      <c r="N258" s="75"/>
      <c r="O258" s="75"/>
      <c r="P258" s="75"/>
      <c r="Q258" s="75"/>
      <c r="R258" s="75"/>
      <c r="S258" s="75"/>
      <c r="T258" s="75"/>
      <c r="U258" s="75"/>
      <c r="V258" s="75"/>
      <c r="W258" s="80"/>
      <c r="X258" s="75"/>
      <c r="Y258" s="75"/>
      <c r="Z258" s="75"/>
      <c r="AA258" s="75"/>
      <c r="AB258" s="75"/>
    </row>
    <row r="259" spans="1:28" x14ac:dyDescent="0.3">
      <c r="A259" s="67">
        <v>258</v>
      </c>
      <c r="B259" s="76"/>
      <c r="C259" s="76"/>
      <c r="D259" s="76"/>
      <c r="E259" s="71"/>
      <c r="F259" s="71"/>
      <c r="G259" s="80"/>
      <c r="H259" s="71"/>
      <c r="I259" s="67" t="str">
        <f t="shared" si="15"/>
        <v/>
      </c>
      <c r="J259" s="67" t="str">
        <f t="shared" si="16"/>
        <v/>
      </c>
      <c r="K259" s="67"/>
      <c r="L259" s="67"/>
      <c r="M259" s="67"/>
      <c r="N259" s="75"/>
      <c r="O259" s="75"/>
      <c r="P259" s="75"/>
      <c r="Q259" s="75"/>
      <c r="R259" s="75"/>
      <c r="S259" s="75"/>
      <c r="T259" s="75"/>
      <c r="U259" s="75"/>
      <c r="V259" s="75"/>
      <c r="W259" s="80"/>
      <c r="X259" s="75"/>
      <c r="Y259" s="75"/>
      <c r="Z259" s="75"/>
      <c r="AA259" s="75"/>
      <c r="AB259" s="75"/>
    </row>
    <row r="260" spans="1:28" x14ac:dyDescent="0.3">
      <c r="A260" s="67">
        <v>259</v>
      </c>
      <c r="B260" s="76"/>
      <c r="C260" s="76"/>
      <c r="D260" s="76"/>
      <c r="E260" s="71"/>
      <c r="F260" s="71"/>
      <c r="G260" s="80"/>
      <c r="H260" s="71"/>
      <c r="I260" s="67" t="str">
        <f t="shared" si="15"/>
        <v/>
      </c>
      <c r="J260" s="67" t="str">
        <f t="shared" si="16"/>
        <v/>
      </c>
      <c r="K260" s="67"/>
      <c r="L260" s="67"/>
      <c r="M260" s="67"/>
      <c r="N260" s="75"/>
      <c r="O260" s="75"/>
      <c r="P260" s="75"/>
      <c r="Q260" s="75"/>
      <c r="R260" s="75"/>
      <c r="S260" s="75"/>
      <c r="T260" s="75"/>
      <c r="U260" s="75"/>
      <c r="V260" s="75"/>
      <c r="W260" s="80"/>
      <c r="X260" s="75"/>
      <c r="Y260" s="75"/>
      <c r="Z260" s="75"/>
      <c r="AA260" s="75"/>
      <c r="AB260" s="75"/>
    </row>
    <row r="261" spans="1:28" x14ac:dyDescent="0.3">
      <c r="A261" s="67">
        <v>260</v>
      </c>
      <c r="B261" s="76"/>
      <c r="C261" s="76"/>
      <c r="D261" s="76"/>
      <c r="E261" s="71"/>
      <c r="F261" s="71"/>
      <c r="G261" s="80"/>
      <c r="H261" s="71"/>
      <c r="I261" s="67" t="str">
        <f t="shared" si="15"/>
        <v/>
      </c>
      <c r="J261" s="67" t="str">
        <f t="shared" si="16"/>
        <v/>
      </c>
      <c r="K261" s="67"/>
      <c r="L261" s="67"/>
      <c r="M261" s="67"/>
      <c r="N261" s="75"/>
      <c r="O261" s="75"/>
      <c r="P261" s="75"/>
      <c r="Q261" s="75"/>
      <c r="R261" s="75"/>
      <c r="S261" s="75"/>
      <c r="T261" s="75"/>
      <c r="U261" s="75"/>
      <c r="V261" s="75"/>
      <c r="W261" s="80"/>
      <c r="X261" s="75"/>
      <c r="Y261" s="75"/>
      <c r="Z261" s="75"/>
      <c r="AA261" s="75"/>
      <c r="AB261" s="75"/>
    </row>
    <row r="262" spans="1:28" x14ac:dyDescent="0.3">
      <c r="A262" s="67">
        <v>261</v>
      </c>
      <c r="B262" s="76"/>
      <c r="C262" s="76"/>
      <c r="D262" s="76"/>
      <c r="E262" s="71"/>
      <c r="F262" s="71"/>
      <c r="G262" s="80"/>
      <c r="H262" s="71"/>
      <c r="I262" s="67" t="str">
        <f t="shared" si="15"/>
        <v/>
      </c>
      <c r="J262" s="67" t="str">
        <f t="shared" si="16"/>
        <v/>
      </c>
      <c r="K262" s="67"/>
      <c r="L262" s="67"/>
      <c r="M262" s="67"/>
      <c r="N262" s="75"/>
      <c r="O262" s="75"/>
      <c r="P262" s="75"/>
      <c r="Q262" s="75"/>
      <c r="R262" s="75"/>
      <c r="S262" s="75"/>
      <c r="T262" s="75"/>
      <c r="U262" s="75"/>
      <c r="V262" s="75"/>
      <c r="W262" s="80"/>
      <c r="X262" s="75"/>
      <c r="Y262" s="75"/>
      <c r="Z262" s="75"/>
      <c r="AA262" s="75"/>
      <c r="AB262" s="75"/>
    </row>
    <row r="263" spans="1:28" x14ac:dyDescent="0.3">
      <c r="A263" s="67">
        <v>262</v>
      </c>
      <c r="B263" s="76"/>
      <c r="C263" s="76"/>
      <c r="D263" s="76"/>
      <c r="E263" s="71"/>
      <c r="F263" s="71"/>
      <c r="G263" s="80"/>
      <c r="H263" s="71"/>
      <c r="I263" s="67" t="str">
        <f t="shared" si="15"/>
        <v/>
      </c>
      <c r="J263" s="67" t="str">
        <f t="shared" si="16"/>
        <v/>
      </c>
      <c r="K263" s="67"/>
      <c r="L263" s="67"/>
      <c r="M263" s="67"/>
      <c r="N263" s="75"/>
      <c r="O263" s="75"/>
      <c r="P263" s="75"/>
      <c r="Q263" s="75"/>
      <c r="R263" s="75"/>
      <c r="S263" s="75"/>
      <c r="T263" s="75"/>
      <c r="U263" s="75"/>
      <c r="V263" s="75"/>
      <c r="W263" s="80"/>
      <c r="X263" s="75"/>
      <c r="Y263" s="75"/>
      <c r="Z263" s="75"/>
      <c r="AA263" s="75"/>
      <c r="AB263" s="75"/>
    </row>
    <row r="264" spans="1:28" x14ac:dyDescent="0.3">
      <c r="A264" s="67">
        <v>263</v>
      </c>
      <c r="B264" s="76"/>
      <c r="C264" s="76"/>
      <c r="D264" s="76"/>
      <c r="E264" s="71"/>
      <c r="F264" s="71"/>
      <c r="G264" s="80"/>
      <c r="H264" s="71"/>
      <c r="I264" s="67" t="str">
        <f t="shared" si="15"/>
        <v/>
      </c>
      <c r="J264" s="67" t="str">
        <f t="shared" si="16"/>
        <v/>
      </c>
      <c r="K264" s="67"/>
      <c r="L264" s="67"/>
      <c r="M264" s="67"/>
      <c r="N264" s="75"/>
      <c r="O264" s="75"/>
      <c r="P264" s="75"/>
      <c r="Q264" s="75"/>
      <c r="R264" s="75"/>
      <c r="S264" s="75"/>
      <c r="T264" s="75"/>
      <c r="U264" s="75"/>
      <c r="V264" s="75"/>
      <c r="W264" s="80"/>
      <c r="X264" s="75"/>
      <c r="Y264" s="75"/>
      <c r="Z264" s="75"/>
      <c r="AA264" s="75"/>
      <c r="AB264" s="75"/>
    </row>
    <row r="265" spans="1:28" x14ac:dyDescent="0.3">
      <c r="A265" s="67">
        <v>264</v>
      </c>
      <c r="B265" s="76"/>
      <c r="C265" s="76"/>
      <c r="D265" s="76"/>
      <c r="E265" s="71"/>
      <c r="F265" s="71"/>
      <c r="G265" s="80"/>
      <c r="H265" s="71"/>
      <c r="I265" s="67" t="str">
        <f t="shared" si="15"/>
        <v/>
      </c>
      <c r="J265" s="67" t="str">
        <f t="shared" si="16"/>
        <v/>
      </c>
      <c r="K265" s="67"/>
      <c r="L265" s="67"/>
      <c r="M265" s="67"/>
      <c r="N265" s="75"/>
      <c r="O265" s="75"/>
      <c r="P265" s="75"/>
      <c r="Q265" s="75"/>
      <c r="R265" s="75"/>
      <c r="S265" s="75"/>
      <c r="T265" s="75"/>
      <c r="U265" s="75"/>
      <c r="V265" s="75"/>
      <c r="W265" s="80"/>
      <c r="X265" s="75"/>
      <c r="Y265" s="75"/>
      <c r="Z265" s="75"/>
      <c r="AA265" s="75"/>
      <c r="AB265" s="75"/>
    </row>
    <row r="266" spans="1:28" x14ac:dyDescent="0.3">
      <c r="A266" s="67">
        <v>265</v>
      </c>
      <c r="B266" s="76"/>
      <c r="C266" s="76"/>
      <c r="D266" s="76"/>
      <c r="E266" s="71"/>
      <c r="F266" s="71"/>
      <c r="G266" s="80"/>
      <c r="H266" s="71"/>
      <c r="I266" s="67" t="str">
        <f t="shared" si="15"/>
        <v/>
      </c>
      <c r="J266" s="67" t="str">
        <f t="shared" si="16"/>
        <v/>
      </c>
      <c r="K266" s="67"/>
      <c r="L266" s="67"/>
      <c r="M266" s="67"/>
      <c r="N266" s="75"/>
      <c r="O266" s="75"/>
      <c r="P266" s="75"/>
      <c r="Q266" s="75"/>
      <c r="R266" s="75"/>
      <c r="S266" s="75"/>
      <c r="T266" s="75"/>
      <c r="U266" s="75"/>
      <c r="V266" s="75"/>
      <c r="W266" s="80"/>
      <c r="X266" s="75"/>
      <c r="Y266" s="75"/>
      <c r="Z266" s="75"/>
      <c r="AA266" s="75"/>
      <c r="AB266" s="75"/>
    </row>
    <row r="267" spans="1:28" x14ac:dyDescent="0.3">
      <c r="A267" s="67">
        <v>266</v>
      </c>
      <c r="B267" s="76"/>
      <c r="C267" s="76"/>
      <c r="D267" s="76"/>
      <c r="E267" s="71"/>
      <c r="F267" s="71"/>
      <c r="G267" s="80"/>
      <c r="H267" s="71"/>
      <c r="I267" s="67" t="str">
        <f t="shared" si="15"/>
        <v/>
      </c>
      <c r="J267" s="67" t="str">
        <f t="shared" si="16"/>
        <v/>
      </c>
      <c r="K267" s="67"/>
      <c r="L267" s="67"/>
      <c r="M267" s="67"/>
      <c r="N267" s="75"/>
      <c r="O267" s="75"/>
      <c r="P267" s="75"/>
      <c r="Q267" s="75"/>
      <c r="R267" s="75"/>
      <c r="S267" s="75"/>
      <c r="T267" s="75"/>
      <c r="U267" s="75"/>
      <c r="V267" s="75"/>
      <c r="W267" s="80"/>
      <c r="X267" s="75"/>
      <c r="Y267" s="75"/>
      <c r="Z267" s="75"/>
      <c r="AA267" s="75"/>
      <c r="AB267" s="75"/>
    </row>
    <row r="268" spans="1:28" x14ac:dyDescent="0.3">
      <c r="A268" s="67">
        <v>267</v>
      </c>
      <c r="B268" s="76"/>
      <c r="C268" s="76"/>
      <c r="D268" s="76"/>
      <c r="E268" s="71"/>
      <c r="F268" s="71"/>
      <c r="G268" s="80"/>
      <c r="H268" s="71"/>
      <c r="I268" s="67" t="str">
        <f t="shared" si="15"/>
        <v/>
      </c>
      <c r="J268" s="67" t="str">
        <f t="shared" si="16"/>
        <v/>
      </c>
      <c r="K268" s="67"/>
      <c r="L268" s="67"/>
      <c r="M268" s="67"/>
      <c r="N268" s="75"/>
      <c r="O268" s="75"/>
      <c r="P268" s="75"/>
      <c r="Q268" s="75"/>
      <c r="R268" s="75"/>
      <c r="S268" s="75"/>
      <c r="T268" s="75"/>
      <c r="U268" s="75"/>
      <c r="V268" s="75"/>
      <c r="W268" s="80"/>
      <c r="X268" s="75"/>
      <c r="Y268" s="75"/>
      <c r="Z268" s="75"/>
      <c r="AA268" s="75"/>
      <c r="AB268" s="75"/>
    </row>
    <row r="269" spans="1:28" x14ac:dyDescent="0.3">
      <c r="A269" s="67">
        <v>268</v>
      </c>
      <c r="B269" s="76"/>
      <c r="C269" s="76"/>
      <c r="D269" s="76"/>
      <c r="E269" s="71"/>
      <c r="F269" s="71"/>
      <c r="G269" s="80"/>
      <c r="H269" s="71"/>
      <c r="I269" s="67" t="str">
        <f t="shared" si="15"/>
        <v/>
      </c>
      <c r="J269" s="67" t="str">
        <f t="shared" si="16"/>
        <v/>
      </c>
      <c r="K269" s="67"/>
      <c r="L269" s="67"/>
      <c r="M269" s="67"/>
      <c r="N269" s="75"/>
      <c r="O269" s="75"/>
      <c r="P269" s="75"/>
      <c r="Q269" s="75"/>
      <c r="R269" s="75"/>
      <c r="S269" s="75"/>
      <c r="T269" s="75"/>
      <c r="U269" s="75"/>
      <c r="V269" s="75"/>
      <c r="W269" s="80"/>
      <c r="X269" s="75"/>
      <c r="Y269" s="75"/>
      <c r="Z269" s="75"/>
      <c r="AA269" s="75"/>
      <c r="AB269" s="75"/>
    </row>
    <row r="270" spans="1:28" x14ac:dyDescent="0.3">
      <c r="A270" s="67">
        <v>269</v>
      </c>
      <c r="B270" s="76"/>
      <c r="C270" s="76"/>
      <c r="D270" s="76"/>
      <c r="E270" s="71"/>
      <c r="F270" s="71"/>
      <c r="G270" s="80"/>
      <c r="H270" s="71"/>
      <c r="I270" s="67" t="str">
        <f t="shared" si="15"/>
        <v/>
      </c>
      <c r="J270" s="67" t="str">
        <f t="shared" si="16"/>
        <v/>
      </c>
      <c r="K270" s="67"/>
      <c r="L270" s="67"/>
      <c r="M270" s="67"/>
      <c r="N270" s="75"/>
      <c r="O270" s="75"/>
      <c r="P270" s="75"/>
      <c r="Q270" s="75"/>
      <c r="R270" s="75"/>
      <c r="S270" s="75"/>
      <c r="T270" s="75"/>
      <c r="U270" s="75"/>
      <c r="V270" s="75"/>
      <c r="W270" s="80"/>
      <c r="X270" s="75"/>
      <c r="Y270" s="75"/>
      <c r="Z270" s="75"/>
      <c r="AA270" s="75"/>
      <c r="AB270" s="75"/>
    </row>
    <row r="271" spans="1:28" x14ac:dyDescent="0.3">
      <c r="A271" s="67">
        <v>270</v>
      </c>
      <c r="B271" s="76"/>
      <c r="C271" s="76"/>
      <c r="D271" s="76"/>
      <c r="E271" s="71"/>
      <c r="F271" s="71"/>
      <c r="G271" s="80"/>
      <c r="H271" s="71"/>
      <c r="I271" s="67" t="str">
        <f t="shared" si="15"/>
        <v/>
      </c>
      <c r="J271" s="67" t="str">
        <f t="shared" si="16"/>
        <v/>
      </c>
      <c r="K271" s="67"/>
      <c r="L271" s="67"/>
      <c r="M271" s="67"/>
      <c r="N271" s="75"/>
      <c r="O271" s="75"/>
      <c r="P271" s="75"/>
      <c r="Q271" s="75"/>
      <c r="R271" s="75"/>
      <c r="S271" s="75"/>
      <c r="T271" s="75"/>
      <c r="U271" s="75"/>
      <c r="V271" s="75"/>
      <c r="W271" s="80"/>
      <c r="X271" s="75"/>
      <c r="Y271" s="75"/>
      <c r="Z271" s="75"/>
      <c r="AA271" s="75"/>
      <c r="AB271" s="75"/>
    </row>
    <row r="272" spans="1:28" x14ac:dyDescent="0.3">
      <c r="A272" s="67">
        <v>271</v>
      </c>
      <c r="B272" s="76"/>
      <c r="C272" s="76"/>
      <c r="D272" s="76"/>
      <c r="E272" s="71"/>
      <c r="F272" s="71"/>
      <c r="G272" s="80"/>
      <c r="H272" s="71"/>
      <c r="I272" s="67" t="str">
        <f t="shared" si="15"/>
        <v/>
      </c>
      <c r="J272" s="67" t="str">
        <f t="shared" si="16"/>
        <v/>
      </c>
      <c r="K272" s="67"/>
      <c r="L272" s="67"/>
      <c r="M272" s="67"/>
      <c r="N272" s="75"/>
      <c r="O272" s="75"/>
      <c r="P272" s="75"/>
      <c r="Q272" s="75"/>
      <c r="R272" s="75"/>
      <c r="S272" s="75"/>
      <c r="T272" s="75"/>
      <c r="U272" s="75"/>
      <c r="V272" s="75"/>
      <c r="W272" s="80"/>
      <c r="X272" s="75"/>
      <c r="Y272" s="75"/>
      <c r="Z272" s="75"/>
      <c r="AA272" s="75"/>
      <c r="AB272" s="75"/>
    </row>
    <row r="273" spans="1:28" x14ac:dyDescent="0.3">
      <c r="A273" s="67">
        <v>272</v>
      </c>
      <c r="B273" s="76"/>
      <c r="C273" s="76"/>
      <c r="D273" s="76"/>
      <c r="E273" s="71"/>
      <c r="F273" s="71"/>
      <c r="G273" s="80"/>
      <c r="H273" s="71"/>
      <c r="I273" s="67" t="str">
        <f t="shared" si="15"/>
        <v/>
      </c>
      <c r="J273" s="67" t="str">
        <f t="shared" si="16"/>
        <v/>
      </c>
      <c r="K273" s="67"/>
      <c r="L273" s="67"/>
      <c r="M273" s="67"/>
      <c r="N273" s="75"/>
      <c r="O273" s="75"/>
      <c r="P273" s="75"/>
      <c r="Q273" s="75"/>
      <c r="R273" s="75"/>
      <c r="S273" s="75"/>
      <c r="T273" s="75"/>
      <c r="U273" s="75"/>
      <c r="V273" s="75"/>
      <c r="W273" s="80"/>
      <c r="X273" s="75"/>
      <c r="Y273" s="75"/>
      <c r="Z273" s="75"/>
      <c r="AA273" s="75"/>
      <c r="AB273" s="75"/>
    </row>
    <row r="274" spans="1:28" x14ac:dyDescent="0.3">
      <c r="A274" s="67">
        <v>273</v>
      </c>
      <c r="B274" s="76"/>
      <c r="C274" s="76"/>
      <c r="D274" s="76"/>
      <c r="E274" s="71"/>
      <c r="F274" s="71"/>
      <c r="G274" s="80"/>
      <c r="H274" s="71"/>
      <c r="I274" s="67" t="str">
        <f t="shared" si="15"/>
        <v/>
      </c>
      <c r="J274" s="67" t="str">
        <f t="shared" si="16"/>
        <v/>
      </c>
      <c r="K274" s="67"/>
      <c r="L274" s="67"/>
      <c r="M274" s="67"/>
      <c r="N274" s="75"/>
      <c r="O274" s="75"/>
      <c r="P274" s="75"/>
      <c r="Q274" s="75"/>
      <c r="R274" s="75"/>
      <c r="S274" s="75"/>
      <c r="T274" s="75"/>
      <c r="U274" s="75"/>
      <c r="V274" s="75"/>
      <c r="W274" s="80"/>
      <c r="X274" s="75"/>
      <c r="Y274" s="75"/>
      <c r="Z274" s="75"/>
      <c r="AA274" s="75"/>
      <c r="AB274" s="75"/>
    </row>
    <row r="275" spans="1:28" x14ac:dyDescent="0.3">
      <c r="A275" s="67">
        <v>274</v>
      </c>
      <c r="B275" s="76"/>
      <c r="C275" s="76"/>
      <c r="D275" s="76"/>
      <c r="E275" s="71"/>
      <c r="F275" s="71"/>
      <c r="G275" s="80"/>
      <c r="H275" s="71"/>
      <c r="I275" s="67" t="str">
        <f t="shared" si="15"/>
        <v/>
      </c>
      <c r="J275" s="67" t="str">
        <f t="shared" si="16"/>
        <v/>
      </c>
      <c r="K275" s="67"/>
      <c r="L275" s="67"/>
      <c r="M275" s="67"/>
      <c r="N275" s="75"/>
      <c r="O275" s="75"/>
      <c r="P275" s="75"/>
      <c r="Q275" s="75"/>
      <c r="R275" s="75"/>
      <c r="S275" s="75"/>
      <c r="T275" s="75"/>
      <c r="U275" s="75"/>
      <c r="V275" s="75"/>
      <c r="W275" s="80"/>
      <c r="X275" s="75"/>
      <c r="Y275" s="75"/>
      <c r="Z275" s="75"/>
      <c r="AA275" s="75"/>
      <c r="AB275" s="75"/>
    </row>
    <row r="276" spans="1:28" x14ac:dyDescent="0.3">
      <c r="A276" s="67">
        <v>275</v>
      </c>
      <c r="B276" s="76"/>
      <c r="C276" s="76"/>
      <c r="D276" s="76"/>
      <c r="E276" s="71"/>
      <c r="F276" s="71"/>
      <c r="G276" s="80"/>
      <c r="H276" s="71"/>
      <c r="I276" s="67" t="str">
        <f t="shared" si="15"/>
        <v/>
      </c>
      <c r="J276" s="67" t="str">
        <f t="shared" si="16"/>
        <v/>
      </c>
      <c r="K276" s="67"/>
      <c r="L276" s="67"/>
      <c r="M276" s="67"/>
      <c r="N276" s="75"/>
      <c r="O276" s="75"/>
      <c r="P276" s="75"/>
      <c r="Q276" s="75"/>
      <c r="R276" s="75"/>
      <c r="S276" s="75"/>
      <c r="T276" s="75"/>
      <c r="U276" s="75"/>
      <c r="V276" s="75"/>
      <c r="W276" s="80"/>
      <c r="X276" s="75"/>
      <c r="Y276" s="75"/>
      <c r="Z276" s="75"/>
      <c r="AA276" s="75"/>
      <c r="AB276" s="75"/>
    </row>
    <row r="277" spans="1:28" x14ac:dyDescent="0.3">
      <c r="A277" s="67">
        <v>276</v>
      </c>
      <c r="B277" s="76"/>
      <c r="C277" s="76"/>
      <c r="D277" s="76"/>
      <c r="E277" s="71"/>
      <c r="F277" s="71"/>
      <c r="G277" s="80"/>
      <c r="H277" s="71"/>
      <c r="I277" s="67" t="str">
        <f t="shared" si="15"/>
        <v/>
      </c>
      <c r="J277" s="67" t="str">
        <f t="shared" si="16"/>
        <v/>
      </c>
      <c r="K277" s="67"/>
      <c r="L277" s="67"/>
      <c r="M277" s="67"/>
      <c r="N277" s="75"/>
      <c r="O277" s="75"/>
      <c r="P277" s="75"/>
      <c r="Q277" s="75"/>
      <c r="R277" s="75"/>
      <c r="S277" s="75"/>
      <c r="T277" s="75"/>
      <c r="U277" s="75"/>
      <c r="V277" s="75"/>
      <c r="W277" s="80"/>
      <c r="X277" s="75"/>
      <c r="Y277" s="75"/>
      <c r="Z277" s="75"/>
      <c r="AA277" s="75"/>
      <c r="AB277" s="75"/>
    </row>
    <row r="278" spans="1:28" x14ac:dyDescent="0.3">
      <c r="A278" s="67">
        <v>277</v>
      </c>
      <c r="B278" s="76"/>
      <c r="C278" s="76"/>
      <c r="D278" s="76"/>
      <c r="E278" s="71"/>
      <c r="F278" s="71"/>
      <c r="G278" s="80"/>
      <c r="H278" s="71"/>
      <c r="I278" s="67" t="str">
        <f t="shared" si="15"/>
        <v/>
      </c>
      <c r="J278" s="67" t="str">
        <f t="shared" si="16"/>
        <v/>
      </c>
      <c r="K278" s="67"/>
      <c r="L278" s="67"/>
      <c r="M278" s="67"/>
      <c r="N278" s="75"/>
      <c r="O278" s="75"/>
      <c r="P278" s="75"/>
      <c r="Q278" s="75"/>
      <c r="R278" s="75"/>
      <c r="S278" s="75"/>
      <c r="T278" s="75"/>
      <c r="U278" s="75"/>
      <c r="V278" s="75"/>
      <c r="W278" s="80"/>
      <c r="X278" s="75"/>
      <c r="Y278" s="75"/>
      <c r="Z278" s="75"/>
      <c r="AA278" s="75"/>
      <c r="AB278" s="75"/>
    </row>
    <row r="279" spans="1:28" x14ac:dyDescent="0.3">
      <c r="A279" s="67">
        <v>278</v>
      </c>
      <c r="B279" s="76"/>
      <c r="C279" s="76"/>
      <c r="D279" s="76"/>
      <c r="E279" s="71"/>
      <c r="F279" s="71"/>
      <c r="G279" s="80"/>
      <c r="H279" s="71"/>
      <c r="I279" s="67" t="str">
        <f t="shared" si="15"/>
        <v/>
      </c>
      <c r="J279" s="67" t="str">
        <f t="shared" si="16"/>
        <v/>
      </c>
      <c r="K279" s="67"/>
      <c r="L279" s="67"/>
      <c r="M279" s="67"/>
      <c r="N279" s="75"/>
      <c r="O279" s="75"/>
      <c r="P279" s="75"/>
      <c r="Q279" s="75"/>
      <c r="R279" s="75"/>
      <c r="S279" s="75"/>
      <c r="T279" s="75"/>
      <c r="U279" s="75"/>
      <c r="V279" s="75"/>
      <c r="W279" s="80"/>
      <c r="X279" s="75"/>
      <c r="Y279" s="75"/>
      <c r="Z279" s="75"/>
      <c r="AA279" s="75"/>
      <c r="AB279" s="75"/>
    </row>
    <row r="280" spans="1:28" x14ac:dyDescent="0.3">
      <c r="A280" s="67">
        <v>279</v>
      </c>
      <c r="B280" s="76"/>
      <c r="C280" s="76"/>
      <c r="D280" s="76"/>
      <c r="E280" s="71"/>
      <c r="F280" s="71"/>
      <c r="G280" s="80"/>
      <c r="H280" s="71"/>
      <c r="I280" s="67" t="str">
        <f t="shared" si="15"/>
        <v/>
      </c>
      <c r="J280" s="67" t="str">
        <f t="shared" si="16"/>
        <v/>
      </c>
      <c r="K280" s="67"/>
      <c r="L280" s="67"/>
      <c r="M280" s="67"/>
      <c r="N280" s="75"/>
      <c r="O280" s="75"/>
      <c r="P280" s="75"/>
      <c r="Q280" s="75"/>
      <c r="R280" s="75"/>
      <c r="S280" s="75"/>
      <c r="T280" s="75"/>
      <c r="U280" s="75"/>
      <c r="V280" s="75"/>
      <c r="W280" s="80"/>
      <c r="X280" s="75"/>
      <c r="Y280" s="75"/>
      <c r="Z280" s="75"/>
      <c r="AA280" s="75"/>
      <c r="AB280" s="75"/>
    </row>
    <row r="281" spans="1:28" x14ac:dyDescent="0.3">
      <c r="A281" s="67">
        <v>280</v>
      </c>
      <c r="B281" s="76"/>
      <c r="C281" s="76"/>
      <c r="D281" s="76"/>
      <c r="E281" s="71"/>
      <c r="F281" s="71"/>
      <c r="G281" s="80"/>
      <c r="H281" s="71"/>
      <c r="I281" s="67" t="str">
        <f t="shared" si="15"/>
        <v/>
      </c>
      <c r="J281" s="67" t="str">
        <f t="shared" si="16"/>
        <v/>
      </c>
      <c r="K281" s="67"/>
      <c r="L281" s="67"/>
      <c r="M281" s="67"/>
      <c r="N281" s="75"/>
      <c r="O281" s="75"/>
      <c r="P281" s="75"/>
      <c r="Q281" s="75"/>
      <c r="R281" s="75"/>
      <c r="S281" s="75"/>
      <c r="T281" s="75"/>
      <c r="U281" s="75"/>
      <c r="V281" s="75"/>
      <c r="W281" s="80"/>
      <c r="X281" s="75"/>
      <c r="Y281" s="75"/>
      <c r="Z281" s="75"/>
      <c r="AA281" s="75"/>
      <c r="AB281" s="75"/>
    </row>
    <row r="282" spans="1:28" x14ac:dyDescent="0.3">
      <c r="A282" s="67">
        <v>281</v>
      </c>
      <c r="B282" s="76"/>
      <c r="C282" s="76"/>
      <c r="D282" s="76"/>
      <c r="E282" s="71"/>
      <c r="F282" s="71"/>
      <c r="G282" s="80"/>
      <c r="H282" s="71"/>
      <c r="I282" s="67" t="str">
        <f t="shared" si="15"/>
        <v/>
      </c>
      <c r="J282" s="67" t="str">
        <f t="shared" si="16"/>
        <v/>
      </c>
      <c r="K282" s="67"/>
      <c r="L282" s="67"/>
      <c r="M282" s="67"/>
      <c r="N282" s="75"/>
      <c r="O282" s="75"/>
      <c r="P282" s="75"/>
      <c r="Q282" s="75"/>
      <c r="R282" s="75"/>
      <c r="S282" s="75"/>
      <c r="T282" s="75"/>
      <c r="U282" s="75"/>
      <c r="V282" s="75"/>
      <c r="W282" s="80"/>
      <c r="X282" s="75"/>
      <c r="Y282" s="75"/>
      <c r="Z282" s="75"/>
      <c r="AA282" s="75"/>
      <c r="AB282" s="75"/>
    </row>
    <row r="283" spans="1:28" x14ac:dyDescent="0.3">
      <c r="A283" s="67">
        <v>282</v>
      </c>
      <c r="B283" s="76"/>
      <c r="C283" s="76"/>
      <c r="D283" s="76"/>
      <c r="E283" s="71"/>
      <c r="F283" s="71"/>
      <c r="G283" s="80"/>
      <c r="H283" s="71"/>
      <c r="I283" s="67" t="str">
        <f t="shared" si="15"/>
        <v/>
      </c>
      <c r="J283" s="67" t="str">
        <f t="shared" si="16"/>
        <v/>
      </c>
      <c r="K283" s="67"/>
      <c r="L283" s="67"/>
      <c r="M283" s="67"/>
      <c r="N283" s="75"/>
      <c r="O283" s="75"/>
      <c r="P283" s="75"/>
      <c r="Q283" s="75"/>
      <c r="R283" s="75"/>
      <c r="S283" s="75"/>
      <c r="T283" s="75"/>
      <c r="U283" s="75"/>
      <c r="V283" s="75"/>
      <c r="W283" s="80"/>
      <c r="X283" s="75"/>
      <c r="Y283" s="75"/>
      <c r="Z283" s="75"/>
      <c r="AA283" s="75"/>
      <c r="AB283" s="75"/>
    </row>
    <row r="284" spans="1:28" x14ac:dyDescent="0.3">
      <c r="A284" s="67">
        <v>283</v>
      </c>
      <c r="B284" s="76"/>
      <c r="C284" s="76"/>
      <c r="D284" s="76"/>
      <c r="E284" s="71"/>
      <c r="F284" s="71"/>
      <c r="G284" s="80"/>
      <c r="H284" s="71"/>
      <c r="I284" s="67" t="str">
        <f t="shared" si="15"/>
        <v/>
      </c>
      <c r="J284" s="67" t="str">
        <f t="shared" si="16"/>
        <v/>
      </c>
      <c r="K284" s="67"/>
      <c r="L284" s="67"/>
      <c r="M284" s="67"/>
      <c r="N284" s="75"/>
      <c r="O284" s="75"/>
      <c r="P284" s="75"/>
      <c r="Q284" s="75"/>
      <c r="R284" s="75"/>
      <c r="S284" s="75"/>
      <c r="T284" s="75"/>
      <c r="U284" s="75"/>
      <c r="V284" s="75"/>
      <c r="W284" s="80"/>
      <c r="X284" s="75"/>
      <c r="Y284" s="75"/>
      <c r="Z284" s="75"/>
      <c r="AA284" s="75"/>
      <c r="AB284" s="75"/>
    </row>
    <row r="285" spans="1:28" x14ac:dyDescent="0.3">
      <c r="A285" s="67">
        <v>284</v>
      </c>
      <c r="B285" s="76"/>
      <c r="C285" s="76"/>
      <c r="D285" s="76"/>
      <c r="E285" s="71"/>
      <c r="F285" s="71"/>
      <c r="G285" s="80"/>
      <c r="H285" s="71"/>
      <c r="I285" s="67" t="str">
        <f t="shared" si="15"/>
        <v/>
      </c>
      <c r="J285" s="67" t="str">
        <f t="shared" si="16"/>
        <v/>
      </c>
      <c r="K285" s="67"/>
      <c r="L285" s="67"/>
      <c r="M285" s="67"/>
      <c r="N285" s="75"/>
      <c r="O285" s="75"/>
      <c r="P285" s="75"/>
      <c r="Q285" s="75"/>
      <c r="R285" s="75"/>
      <c r="S285" s="75"/>
      <c r="T285" s="75"/>
      <c r="U285" s="75"/>
      <c r="V285" s="75"/>
      <c r="W285" s="80"/>
      <c r="X285" s="75"/>
      <c r="Y285" s="75"/>
      <c r="Z285" s="75"/>
      <c r="AA285" s="75"/>
      <c r="AB285" s="75"/>
    </row>
    <row r="286" spans="1:28" x14ac:dyDescent="0.3">
      <c r="A286" s="67">
        <v>285</v>
      </c>
      <c r="B286" s="76"/>
      <c r="C286" s="76"/>
      <c r="D286" s="76"/>
      <c r="E286" s="71"/>
      <c r="F286" s="71"/>
      <c r="G286" s="80"/>
      <c r="H286" s="71"/>
      <c r="I286" s="67" t="str">
        <f t="shared" si="15"/>
        <v/>
      </c>
      <c r="J286" s="67" t="str">
        <f t="shared" si="16"/>
        <v/>
      </c>
      <c r="K286" s="67"/>
      <c r="L286" s="67"/>
      <c r="M286" s="67"/>
      <c r="N286" s="75"/>
      <c r="O286" s="75"/>
      <c r="P286" s="75"/>
      <c r="Q286" s="75"/>
      <c r="R286" s="75"/>
      <c r="S286" s="75"/>
      <c r="T286" s="75"/>
      <c r="U286" s="75"/>
      <c r="V286" s="75"/>
      <c r="W286" s="80"/>
      <c r="X286" s="75"/>
      <c r="Y286" s="75"/>
      <c r="Z286" s="75"/>
      <c r="AA286" s="75"/>
      <c r="AB286" s="75"/>
    </row>
    <row r="287" spans="1:28" x14ac:dyDescent="0.3">
      <c r="A287" s="67">
        <v>286</v>
      </c>
      <c r="B287" s="76"/>
      <c r="C287" s="76"/>
      <c r="D287" s="76"/>
      <c r="E287" s="71"/>
      <c r="F287" s="71"/>
      <c r="G287" s="80"/>
      <c r="H287" s="71"/>
      <c r="I287" s="67" t="str">
        <f t="shared" si="15"/>
        <v/>
      </c>
      <c r="J287" s="67" t="str">
        <f t="shared" si="16"/>
        <v/>
      </c>
      <c r="K287" s="67"/>
      <c r="L287" s="67"/>
      <c r="M287" s="67"/>
      <c r="N287" s="75"/>
      <c r="O287" s="75"/>
      <c r="P287" s="75"/>
      <c r="Q287" s="75"/>
      <c r="R287" s="75"/>
      <c r="S287" s="75"/>
      <c r="T287" s="75"/>
      <c r="U287" s="75"/>
      <c r="V287" s="75"/>
      <c r="W287" s="80"/>
      <c r="X287" s="75"/>
      <c r="Y287" s="75"/>
      <c r="Z287" s="75"/>
      <c r="AA287" s="75"/>
      <c r="AB287" s="75"/>
    </row>
    <row r="288" spans="1:28" x14ac:dyDescent="0.3">
      <c r="A288" s="67">
        <v>287</v>
      </c>
      <c r="B288" s="76"/>
      <c r="C288" s="76"/>
      <c r="D288" s="76"/>
      <c r="E288" s="71"/>
      <c r="F288" s="71"/>
      <c r="G288" s="80"/>
      <c r="H288" s="71"/>
      <c r="I288" s="67" t="str">
        <f t="shared" si="15"/>
        <v/>
      </c>
      <c r="J288" s="67" t="str">
        <f t="shared" si="16"/>
        <v/>
      </c>
      <c r="K288" s="67"/>
      <c r="L288" s="67"/>
      <c r="M288" s="67"/>
      <c r="N288" s="75"/>
      <c r="O288" s="75"/>
      <c r="P288" s="75"/>
      <c r="Q288" s="75"/>
      <c r="R288" s="75"/>
      <c r="S288" s="75"/>
      <c r="T288" s="75"/>
      <c r="U288" s="75"/>
      <c r="V288" s="75"/>
      <c r="W288" s="80"/>
      <c r="X288" s="75"/>
      <c r="Y288" s="75"/>
      <c r="Z288" s="75"/>
      <c r="AA288" s="75"/>
      <c r="AB288" s="75"/>
    </row>
    <row r="289" spans="1:28" x14ac:dyDescent="0.3">
      <c r="A289" s="67">
        <v>288</v>
      </c>
      <c r="B289" s="76"/>
      <c r="C289" s="76"/>
      <c r="D289" s="76"/>
      <c r="E289" s="71"/>
      <c r="F289" s="71"/>
      <c r="G289" s="80"/>
      <c r="H289" s="71"/>
      <c r="I289" s="67" t="str">
        <f t="shared" si="15"/>
        <v/>
      </c>
      <c r="J289" s="67" t="str">
        <f t="shared" si="16"/>
        <v/>
      </c>
      <c r="K289" s="67"/>
      <c r="L289" s="67"/>
      <c r="M289" s="67"/>
      <c r="N289" s="75"/>
      <c r="O289" s="75"/>
      <c r="P289" s="75"/>
      <c r="Q289" s="75"/>
      <c r="R289" s="75"/>
      <c r="S289" s="75"/>
      <c r="T289" s="75"/>
      <c r="U289" s="75"/>
      <c r="V289" s="75"/>
      <c r="W289" s="80"/>
      <c r="X289" s="75"/>
      <c r="Y289" s="75"/>
      <c r="Z289" s="75"/>
      <c r="AA289" s="75"/>
      <c r="AB289" s="75"/>
    </row>
    <row r="290" spans="1:28" x14ac:dyDescent="0.3">
      <c r="A290" s="67">
        <v>289</v>
      </c>
      <c r="B290" s="76"/>
      <c r="C290" s="76"/>
      <c r="D290" s="76"/>
      <c r="E290" s="71"/>
      <c r="F290" s="71"/>
      <c r="G290" s="80"/>
      <c r="H290" s="71"/>
      <c r="I290" s="67" t="str">
        <f t="shared" si="15"/>
        <v/>
      </c>
      <c r="J290" s="67" t="str">
        <f t="shared" si="16"/>
        <v/>
      </c>
      <c r="K290" s="67"/>
      <c r="L290" s="67"/>
      <c r="M290" s="67"/>
      <c r="N290" s="75"/>
      <c r="O290" s="75"/>
      <c r="P290" s="75"/>
      <c r="Q290" s="75"/>
      <c r="R290" s="75"/>
      <c r="S290" s="75"/>
      <c r="T290" s="75"/>
      <c r="U290" s="75"/>
      <c r="V290" s="75"/>
      <c r="W290" s="80"/>
      <c r="X290" s="75"/>
      <c r="Y290" s="75"/>
      <c r="Z290" s="75"/>
      <c r="AA290" s="75"/>
      <c r="AB290" s="75"/>
    </row>
    <row r="291" spans="1:28" x14ac:dyDescent="0.3">
      <c r="A291" s="67">
        <v>290</v>
      </c>
      <c r="B291" s="76"/>
      <c r="C291" s="76"/>
      <c r="D291" s="76"/>
      <c r="E291" s="71"/>
      <c r="F291" s="71"/>
      <c r="G291" s="80"/>
      <c r="H291" s="71"/>
      <c r="I291" s="67" t="str">
        <f t="shared" si="15"/>
        <v/>
      </c>
      <c r="J291" s="67" t="str">
        <f t="shared" si="16"/>
        <v/>
      </c>
      <c r="K291" s="67"/>
      <c r="L291" s="67"/>
      <c r="M291" s="67"/>
      <c r="N291" s="75"/>
      <c r="O291" s="75"/>
      <c r="P291" s="75"/>
      <c r="Q291" s="75"/>
      <c r="R291" s="75"/>
      <c r="S291" s="75"/>
      <c r="T291" s="75"/>
      <c r="U291" s="75"/>
      <c r="V291" s="75"/>
      <c r="W291" s="80"/>
      <c r="X291" s="75"/>
      <c r="Y291" s="75"/>
      <c r="Z291" s="75"/>
      <c r="AA291" s="75"/>
      <c r="AB291" s="75"/>
    </row>
    <row r="292" spans="1:28" x14ac:dyDescent="0.3">
      <c r="A292" s="67">
        <v>291</v>
      </c>
      <c r="B292" s="76"/>
      <c r="C292" s="76"/>
      <c r="D292" s="76"/>
      <c r="E292" s="71"/>
      <c r="F292" s="71"/>
      <c r="G292" s="80"/>
      <c r="H292" s="71"/>
      <c r="I292" s="67" t="str">
        <f t="shared" si="15"/>
        <v/>
      </c>
      <c r="J292" s="67" t="str">
        <f t="shared" si="16"/>
        <v/>
      </c>
      <c r="K292" s="67"/>
      <c r="L292" s="67"/>
      <c r="M292" s="67"/>
      <c r="N292" s="75"/>
      <c r="O292" s="75"/>
      <c r="P292" s="75"/>
      <c r="Q292" s="75"/>
      <c r="R292" s="75"/>
      <c r="S292" s="75"/>
      <c r="T292" s="75"/>
      <c r="U292" s="75"/>
      <c r="V292" s="75"/>
      <c r="W292" s="80"/>
      <c r="X292" s="75"/>
      <c r="Y292" s="75"/>
      <c r="Z292" s="75"/>
      <c r="AA292" s="75"/>
      <c r="AB292" s="75"/>
    </row>
    <row r="293" spans="1:28" x14ac:dyDescent="0.3">
      <c r="A293" s="67">
        <v>292</v>
      </c>
      <c r="B293" s="76"/>
      <c r="C293" s="76"/>
      <c r="D293" s="76"/>
      <c r="E293" s="71"/>
      <c r="F293" s="71"/>
      <c r="G293" s="80"/>
      <c r="H293" s="71"/>
      <c r="I293" s="67" t="str">
        <f t="shared" si="15"/>
        <v/>
      </c>
      <c r="J293" s="67" t="str">
        <f t="shared" si="16"/>
        <v/>
      </c>
      <c r="K293" s="67"/>
      <c r="L293" s="67"/>
      <c r="M293" s="67"/>
      <c r="N293" s="75"/>
      <c r="O293" s="75"/>
      <c r="P293" s="75"/>
      <c r="Q293" s="75"/>
      <c r="R293" s="75"/>
      <c r="S293" s="75"/>
      <c r="T293" s="75"/>
      <c r="U293" s="75"/>
      <c r="V293" s="75"/>
      <c r="W293" s="80"/>
      <c r="X293" s="75"/>
      <c r="Y293" s="75"/>
      <c r="Z293" s="75"/>
      <c r="AA293" s="75"/>
      <c r="AB293" s="75"/>
    </row>
    <row r="294" spans="1:28" x14ac:dyDescent="0.3">
      <c r="A294" s="67">
        <v>293</v>
      </c>
      <c r="B294" s="76"/>
      <c r="C294" s="76"/>
      <c r="D294" s="76"/>
      <c r="E294" s="71"/>
      <c r="F294" s="71"/>
      <c r="G294" s="80"/>
      <c r="H294" s="71"/>
      <c r="I294" s="67" t="str">
        <f t="shared" si="15"/>
        <v/>
      </c>
      <c r="J294" s="67" t="str">
        <f t="shared" si="16"/>
        <v/>
      </c>
      <c r="K294" s="67"/>
      <c r="L294" s="67"/>
      <c r="M294" s="67"/>
      <c r="N294" s="75"/>
      <c r="O294" s="75"/>
      <c r="P294" s="75"/>
      <c r="Q294" s="75"/>
      <c r="R294" s="75"/>
      <c r="S294" s="75"/>
      <c r="T294" s="75"/>
      <c r="U294" s="75"/>
      <c r="V294" s="75"/>
      <c r="W294" s="80"/>
      <c r="X294" s="75"/>
      <c r="Y294" s="75"/>
      <c r="Z294" s="75"/>
      <c r="AA294" s="75"/>
      <c r="AB294" s="75"/>
    </row>
    <row r="295" spans="1:28" x14ac:dyDescent="0.3">
      <c r="A295" s="67">
        <v>294</v>
      </c>
      <c r="B295" s="76"/>
      <c r="C295" s="76"/>
      <c r="D295" s="76"/>
      <c r="E295" s="71"/>
      <c r="F295" s="71"/>
      <c r="G295" s="80"/>
      <c r="H295" s="71"/>
      <c r="I295" s="67" t="str">
        <f t="shared" si="15"/>
        <v/>
      </c>
      <c r="J295" s="67" t="str">
        <f t="shared" si="16"/>
        <v/>
      </c>
      <c r="K295" s="67"/>
      <c r="L295" s="67"/>
      <c r="M295" s="67"/>
      <c r="N295" s="75"/>
      <c r="O295" s="75"/>
      <c r="P295" s="75"/>
      <c r="Q295" s="75"/>
      <c r="R295" s="75"/>
      <c r="S295" s="75"/>
      <c r="T295" s="75"/>
      <c r="U295" s="75"/>
      <c r="V295" s="75"/>
      <c r="W295" s="80"/>
      <c r="X295" s="75"/>
      <c r="Y295" s="75"/>
      <c r="Z295" s="75"/>
      <c r="AA295" s="75"/>
      <c r="AB295" s="75"/>
    </row>
    <row r="296" spans="1:28" x14ac:dyDescent="0.3">
      <c r="A296" s="67">
        <v>295</v>
      </c>
      <c r="B296" s="76"/>
      <c r="C296" s="76"/>
      <c r="D296" s="76"/>
      <c r="E296" s="71"/>
      <c r="F296" s="71"/>
      <c r="G296" s="80"/>
      <c r="H296" s="71"/>
      <c r="I296" s="67" t="str">
        <f t="shared" si="15"/>
        <v/>
      </c>
      <c r="J296" s="67" t="str">
        <f t="shared" si="16"/>
        <v/>
      </c>
      <c r="K296" s="67"/>
      <c r="L296" s="67"/>
      <c r="M296" s="67"/>
      <c r="N296" s="75"/>
      <c r="O296" s="75"/>
      <c r="P296" s="75"/>
      <c r="Q296" s="75"/>
      <c r="R296" s="75"/>
      <c r="S296" s="75"/>
      <c r="T296" s="75"/>
      <c r="U296" s="75"/>
      <c r="V296" s="75"/>
      <c r="W296" s="80"/>
      <c r="X296" s="75"/>
      <c r="Y296" s="75"/>
      <c r="Z296" s="75"/>
      <c r="AA296" s="75"/>
      <c r="AB296" s="75"/>
    </row>
    <row r="297" spans="1:28" x14ac:dyDescent="0.3">
      <c r="A297" s="67">
        <v>296</v>
      </c>
      <c r="B297" s="76"/>
      <c r="C297" s="76"/>
      <c r="D297" s="76"/>
      <c r="E297" s="71"/>
      <c r="F297" s="71"/>
      <c r="G297" s="80"/>
      <c r="H297" s="71"/>
      <c r="I297" s="67" t="str">
        <f t="shared" si="15"/>
        <v/>
      </c>
      <c r="J297" s="67" t="str">
        <f t="shared" si="16"/>
        <v/>
      </c>
      <c r="K297" s="67"/>
      <c r="L297" s="67"/>
      <c r="M297" s="67"/>
      <c r="N297" s="75"/>
      <c r="O297" s="75"/>
      <c r="P297" s="75"/>
      <c r="Q297" s="75"/>
      <c r="R297" s="75"/>
      <c r="S297" s="75"/>
      <c r="T297" s="75"/>
      <c r="U297" s="75"/>
      <c r="V297" s="75"/>
      <c r="W297" s="80"/>
      <c r="X297" s="75"/>
      <c r="Y297" s="75"/>
      <c r="Z297" s="75"/>
      <c r="AA297" s="75"/>
      <c r="AB297" s="75"/>
    </row>
    <row r="298" spans="1:28" x14ac:dyDescent="0.3">
      <c r="A298" s="67">
        <v>297</v>
      </c>
      <c r="B298" s="76"/>
      <c r="C298" s="76"/>
      <c r="D298" s="76"/>
      <c r="E298" s="71"/>
      <c r="F298" s="71"/>
      <c r="G298" s="80"/>
      <c r="H298" s="71"/>
      <c r="I298" s="67" t="str">
        <f t="shared" si="15"/>
        <v/>
      </c>
      <c r="J298" s="67" t="str">
        <f t="shared" si="16"/>
        <v/>
      </c>
      <c r="K298" s="67"/>
      <c r="L298" s="67"/>
      <c r="M298" s="67"/>
      <c r="N298" s="75"/>
      <c r="O298" s="75"/>
      <c r="P298" s="75"/>
      <c r="Q298" s="75"/>
      <c r="R298" s="75"/>
      <c r="S298" s="75"/>
      <c r="T298" s="75"/>
      <c r="U298" s="75"/>
      <c r="V298" s="75"/>
      <c r="W298" s="80"/>
      <c r="X298" s="75"/>
      <c r="Y298" s="75"/>
      <c r="Z298" s="75"/>
      <c r="AA298" s="75"/>
      <c r="AB298" s="75"/>
    </row>
    <row r="299" spans="1:28" x14ac:dyDescent="0.3">
      <c r="A299" s="67">
        <v>298</v>
      </c>
      <c r="B299" s="76"/>
      <c r="C299" s="76"/>
      <c r="D299" s="76"/>
      <c r="E299" s="71"/>
      <c r="F299" s="71"/>
      <c r="G299" s="80"/>
      <c r="H299" s="71"/>
      <c r="I299" s="67" t="str">
        <f t="shared" si="15"/>
        <v/>
      </c>
      <c r="J299" s="67" t="str">
        <f t="shared" si="16"/>
        <v/>
      </c>
      <c r="K299" s="67"/>
      <c r="L299" s="67"/>
      <c r="M299" s="67"/>
      <c r="N299" s="75"/>
      <c r="O299" s="75"/>
      <c r="P299" s="75"/>
      <c r="Q299" s="75"/>
      <c r="R299" s="75"/>
      <c r="S299" s="75"/>
      <c r="T299" s="75"/>
      <c r="U299" s="75"/>
      <c r="V299" s="75"/>
      <c r="W299" s="80"/>
      <c r="X299" s="75"/>
      <c r="Y299" s="75"/>
      <c r="Z299" s="75"/>
      <c r="AA299" s="75"/>
      <c r="AB299" s="75"/>
    </row>
    <row r="300" spans="1:28" x14ac:dyDescent="0.3">
      <c r="A300" s="67">
        <v>299</v>
      </c>
      <c r="B300" s="76"/>
      <c r="C300" s="76"/>
      <c r="D300" s="76"/>
      <c r="E300" s="71"/>
      <c r="F300" s="71"/>
      <c r="G300" s="80"/>
      <c r="H300" s="71"/>
      <c r="I300" s="67" t="str">
        <f t="shared" si="15"/>
        <v/>
      </c>
      <c r="J300" s="67" t="str">
        <f t="shared" si="16"/>
        <v/>
      </c>
      <c r="K300" s="67"/>
      <c r="L300" s="67"/>
      <c r="M300" s="67"/>
      <c r="N300" s="75"/>
      <c r="O300" s="75"/>
      <c r="P300" s="75"/>
      <c r="Q300" s="75"/>
      <c r="R300" s="75"/>
      <c r="S300" s="75"/>
      <c r="T300" s="75"/>
      <c r="U300" s="75"/>
      <c r="V300" s="75"/>
      <c r="W300" s="80"/>
      <c r="X300" s="75"/>
      <c r="Y300" s="75"/>
      <c r="Z300" s="75"/>
      <c r="AA300" s="75"/>
      <c r="AB300" s="75"/>
    </row>
    <row r="301" spans="1:28" x14ac:dyDescent="0.3">
      <c r="A301" s="67">
        <v>300</v>
      </c>
      <c r="B301" s="76"/>
      <c r="C301" s="76"/>
      <c r="D301" s="76"/>
      <c r="E301" s="71"/>
      <c r="F301" s="71"/>
      <c r="G301" s="80"/>
      <c r="H301" s="71"/>
      <c r="I301" s="67" t="str">
        <f t="shared" si="15"/>
        <v/>
      </c>
      <c r="J301" s="67" t="str">
        <f t="shared" si="16"/>
        <v/>
      </c>
      <c r="K301" s="67"/>
      <c r="L301" s="67"/>
      <c r="M301" s="67"/>
      <c r="N301" s="75"/>
      <c r="O301" s="75"/>
      <c r="P301" s="75"/>
      <c r="Q301" s="75"/>
      <c r="R301" s="75"/>
      <c r="S301" s="75"/>
      <c r="T301" s="75"/>
      <c r="U301" s="75"/>
      <c r="V301" s="75"/>
      <c r="W301" s="80"/>
      <c r="X301" s="75"/>
      <c r="Y301" s="75"/>
      <c r="Z301" s="75"/>
      <c r="AA301" s="75"/>
      <c r="AB301" s="75"/>
    </row>
    <row r="302" spans="1:28" x14ac:dyDescent="0.3">
      <c r="A302" s="81"/>
      <c r="B302" s="81"/>
      <c r="C302" s="81"/>
      <c r="D302" s="81"/>
      <c r="E302" s="81"/>
      <c r="F302" s="81"/>
      <c r="G302" s="81"/>
      <c r="H302" s="81"/>
      <c r="I302" s="81"/>
      <c r="J302" s="81"/>
      <c r="K302" s="81"/>
      <c r="L302" s="81"/>
      <c r="M302" s="81"/>
      <c r="N302" s="81"/>
      <c r="O302" s="81"/>
      <c r="P302" s="75"/>
      <c r="Q302" s="75"/>
      <c r="R302" s="81"/>
      <c r="S302" s="75"/>
      <c r="T302" s="81"/>
      <c r="U302" s="75"/>
      <c r="V302" s="81"/>
      <c r="W302" s="80"/>
      <c r="X302" s="81"/>
      <c r="Y302" s="81"/>
      <c r="Z302" s="81"/>
      <c r="AA302" s="81"/>
      <c r="AB302" s="81"/>
    </row>
  </sheetData>
  <sheetProtection formatCells="0" formatColumns="0" formatRows="0" insertColumns="0" insertRows="0" insertHyperlinks="0" deleteColumns="0" deleteRows="0"/>
  <phoneticPr fontId="8" type="noConversion"/>
  <pageMargins left="0.7" right="0.7" top="0.75" bottom="0.75" header="0.3" footer="0.3"/>
  <ignoredErrors>
    <ignoredError sqref="A2:O24 P26:AB302 P2 AB2 P3:P24 P25:Q25 Z25:AA25 S25:X25 A26:O302 A25:M25 O25 R2:Z2 R3:Z24" calculatedColumn="1"/>
  </ignoredErrors>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303"/>
  <sheetViews>
    <sheetView showGridLines="0" topLeftCell="K1" zoomScale="80" zoomScaleNormal="80" workbookViewId="0">
      <pane ySplit="1" topLeftCell="A2" activePane="bottomLeft" state="frozen"/>
      <selection pane="bottomLeft" activeCell="X11" sqref="X11"/>
    </sheetView>
  </sheetViews>
  <sheetFormatPr defaultRowHeight="14.4" x14ac:dyDescent="0.3"/>
  <cols>
    <col min="1" max="1" width="6" customWidth="1"/>
    <col min="2" max="2" width="22.44140625" bestFit="1" customWidth="1"/>
    <col min="3" max="3" width="22" customWidth="1"/>
    <col min="4" max="4" width="10.21875" customWidth="1"/>
    <col min="5" max="5" width="11.77734375" bestFit="1" customWidth="1"/>
    <col min="6" max="6" width="11.77734375" customWidth="1"/>
    <col min="7" max="7" width="12.21875" bestFit="1" customWidth="1"/>
    <col min="8" max="8" width="12.77734375" bestFit="1" customWidth="1"/>
    <col min="9" max="9" width="14.21875" customWidth="1"/>
    <col min="10" max="10" width="15.77734375" customWidth="1"/>
    <col min="11" max="11" width="11" bestFit="1" customWidth="1"/>
    <col min="12" max="12" width="9.33203125" customWidth="1"/>
    <col min="13" max="13" width="12.21875" customWidth="1"/>
    <col min="14" max="14" width="8.21875" customWidth="1"/>
    <col min="15" max="15" width="7.6640625" customWidth="1"/>
    <col min="16" max="16" width="12.77734375" customWidth="1"/>
    <col min="17" max="17" width="11.6640625" customWidth="1"/>
    <col min="18" max="19" width="8.21875" customWidth="1"/>
    <col min="20" max="21" width="10.21875" customWidth="1"/>
    <col min="22" max="22" width="12" customWidth="1"/>
    <col min="23" max="23" width="7.44140625" customWidth="1"/>
    <col min="24" max="24" width="14" customWidth="1"/>
    <col min="25" max="25" width="9.77734375" customWidth="1"/>
    <col min="26" max="26" width="10.109375" customWidth="1"/>
    <col min="27" max="27" width="9.77734375" customWidth="1"/>
    <col min="28" max="28" width="8.5546875" customWidth="1"/>
    <col min="29" max="29" width="12" customWidth="1"/>
  </cols>
  <sheetData>
    <row r="1" spans="1:30" ht="28.05" customHeight="1" x14ac:dyDescent="0.3">
      <c r="A1" s="10" t="s">
        <v>24</v>
      </c>
      <c r="B1" s="10" t="s">
        <v>25</v>
      </c>
      <c r="C1" s="10" t="s">
        <v>26</v>
      </c>
      <c r="D1" s="10" t="s">
        <v>27</v>
      </c>
      <c r="E1" s="10" t="s">
        <v>28</v>
      </c>
      <c r="F1" s="11" t="s">
        <v>29</v>
      </c>
      <c r="G1" s="85" t="s">
        <v>30</v>
      </c>
      <c r="H1" s="11" t="s">
        <v>31</v>
      </c>
      <c r="I1" s="11" t="s">
        <v>32</v>
      </c>
      <c r="J1" s="11" t="s">
        <v>33</v>
      </c>
      <c r="K1" s="11" t="s">
        <v>34</v>
      </c>
      <c r="L1" s="11" t="s">
        <v>35</v>
      </c>
      <c r="M1" s="11" t="s">
        <v>36</v>
      </c>
      <c r="N1" s="12" t="s">
        <v>37</v>
      </c>
      <c r="O1" s="12" t="s">
        <v>38</v>
      </c>
      <c r="P1" s="12" t="s">
        <v>39</v>
      </c>
      <c r="Q1" s="84" t="s">
        <v>40</v>
      </c>
      <c r="R1" s="10" t="s">
        <v>41</v>
      </c>
      <c r="S1" s="13" t="s">
        <v>110</v>
      </c>
      <c r="T1" s="13" t="s">
        <v>42</v>
      </c>
      <c r="U1" s="13" t="s">
        <v>111</v>
      </c>
      <c r="V1" s="13" t="s">
        <v>43</v>
      </c>
      <c r="W1" s="13" t="s">
        <v>44</v>
      </c>
      <c r="X1" s="13" t="s">
        <v>45</v>
      </c>
      <c r="Y1" s="10" t="s">
        <v>46</v>
      </c>
      <c r="Z1" s="10" t="s">
        <v>47</v>
      </c>
      <c r="AA1" s="10" t="s">
        <v>48</v>
      </c>
      <c r="AB1" s="10" t="s">
        <v>49</v>
      </c>
      <c r="AC1" s="10" t="s">
        <v>50</v>
      </c>
      <c r="AD1" s="82" t="s">
        <v>51</v>
      </c>
    </row>
    <row r="2" spans="1:30" x14ac:dyDescent="0.3">
      <c r="A2" s="23">
        <v>1</v>
      </c>
      <c r="B2" s="17" t="s">
        <v>52</v>
      </c>
      <c r="C2" s="17" t="s">
        <v>53</v>
      </c>
      <c r="D2" s="18" t="s">
        <v>54</v>
      </c>
      <c r="E2" s="19" t="s">
        <v>55</v>
      </c>
      <c r="F2" s="20">
        <v>14051</v>
      </c>
      <c r="G2" s="21">
        <v>18000</v>
      </c>
      <c r="H2" s="24" t="s">
        <v>56</v>
      </c>
      <c r="I2" s="23" t="str">
        <f t="shared" ref="I2:I65" si="0">IF($H2="","",IF(UPPER(TRIM($H2))="YES","YES",IF($N2&gt;=BASIC_CAP,"NO","YES")))</f>
        <v>YES</v>
      </c>
      <c r="J2" s="23" t="str">
        <f t="shared" ref="J2:J65" si="1">IF($G2="","",IF($G2&lt;=ESIC_LIMIT,"YES","NO"))</f>
        <v>YES</v>
      </c>
      <c r="K2" s="23">
        <v>26</v>
      </c>
      <c r="L2" s="23">
        <v>1</v>
      </c>
      <c r="M2" s="23">
        <f>MonthlyPayroll[[#This Row],[Total 
Days]]-MonthlyPayroll[[#This Row],[Loss of Pay days]]</f>
        <v>25</v>
      </c>
      <c r="N2" s="25">
        <f>IF(G2&gt;=30000, G2*0.5, IF(G2&gt;=15000,15000,G2))</f>
        <v>15000</v>
      </c>
      <c r="O2" s="25">
        <f>IF(G2&gt;=30000, N2*40%, 0)</f>
        <v>0</v>
      </c>
      <c r="P2" s="25">
        <f>MAX(0, G2-N2-O2)</f>
        <v>3000</v>
      </c>
      <c r="Q2" s="83">
        <f t="shared" ref="Q2:Q24" si="2">IF(AND($G2&lt;25000,$L2=0),2000,0)</f>
        <v>0</v>
      </c>
      <c r="R2" s="26">
        <f>IF($G2="","",$G2+MonthlyPayroll[[#This Row],[Attendance 
Bonus]])</f>
        <v>18000</v>
      </c>
      <c r="S2" s="27">
        <f>IF(MonthlyPayroll[[#This Row],[Basic]]&gt;15000, 15000,MonthlyPayroll[[#This Row],[Basic]])</f>
        <v>15000</v>
      </c>
      <c r="T2" s="27">
        <f>IF(I2="YES",
ROUNDUP(MIN(N2,15000)*12%,0)
+ IF(G2&gt;=25000, ROUND(MIN(N2,15000)*13%,0), 0),
0)</f>
        <v>1800</v>
      </c>
      <c r="U2" s="27">
        <f>IF(MonthlyPayroll[[#This Row],[Actual 
Gross]]&gt;21000,0,(MonthlyPayroll[[#This Row],[Basic]]+MonthlyPayroll[[#This Row],[HRA]]+MonthlyPayroll[[#This Row],[Other allowance]]))</f>
        <v>18000</v>
      </c>
      <c r="V2" s="27">
        <f>IF(J2="YES",
ROUNDUP((R2 ) * 0.75%, 0),
0)</f>
        <v>135</v>
      </c>
      <c r="W2" s="28">
        <f t="shared" ref="W2:W24" si="3">IF(R2="","",IF(R2&lt;=15000,0,IF(R2&lt;=20000,150,200)))</f>
        <v>150</v>
      </c>
      <c r="X2" s="27">
        <f>MonthlyPayroll[[#This Row],[Employee PF]]+MonthlyPayroll[[#This Row],[Employee ESIC]]+MonthlyPayroll[[#This Row],[PT]]</f>
        <v>2085</v>
      </c>
      <c r="Y2" s="26">
        <f t="shared" ref="Y2:Y24" si="4">R2 - X2</f>
        <v>15915</v>
      </c>
      <c r="Z2" s="29">
        <f t="shared" ref="Z2:Z24" si="5">IF(I2="YES",
   IF(G2&gt;=25000,0, ROUNDUP(MIN(N2,15000)*13%,0)),
   0
)</f>
        <v>1950</v>
      </c>
      <c r="AA2" s="29">
        <f>IF(J2="YES",
   ROUNDUP((R2) * 3.25%, 0),
   0
)</f>
        <v>585</v>
      </c>
      <c r="AB2" s="26">
        <f t="shared" ref="AB2:AB24" si="6">IF($R2="","",$R2+$Z2+$AA2)</f>
        <v>20535</v>
      </c>
      <c r="AC2" s="26">
        <f t="shared" ref="AC2:AC24" si="7">IF($AB2="","",$AB2*12)</f>
        <v>246420</v>
      </c>
      <c r="AD2" t="str">
        <f t="shared" ref="AD2:AD24" si="8">IF(G2="","",IF(G2&lt;F2,"⚠ Gross &lt; Minimum Wage",""))</f>
        <v/>
      </c>
    </row>
    <row r="3" spans="1:30" x14ac:dyDescent="0.3">
      <c r="A3" s="23">
        <v>2</v>
      </c>
      <c r="B3" s="17" t="s">
        <v>57</v>
      </c>
      <c r="C3" s="17" t="s">
        <v>58</v>
      </c>
      <c r="D3" s="18" t="s">
        <v>54</v>
      </c>
      <c r="E3" s="19" t="s">
        <v>59</v>
      </c>
      <c r="F3" s="20">
        <v>14051</v>
      </c>
      <c r="G3" s="21">
        <v>20000</v>
      </c>
      <c r="H3" s="24" t="s">
        <v>56</v>
      </c>
      <c r="I3" s="23" t="str">
        <f t="shared" si="0"/>
        <v>YES</v>
      </c>
      <c r="J3" s="23" t="str">
        <f t="shared" si="1"/>
        <v>YES</v>
      </c>
      <c r="K3" s="23">
        <v>26</v>
      </c>
      <c r="L3" s="23">
        <v>1</v>
      </c>
      <c r="M3" s="23">
        <f>MonthlyPayroll[[#This Row],[Total 
Days]]-MonthlyPayroll[[#This Row],[Loss of Pay days]]</f>
        <v>25</v>
      </c>
      <c r="N3" s="25">
        <f t="shared" ref="N3:N25" si="9">IF(G3&gt;=30000, G3*0.5, IF(G3&gt;=15000,15000,G3))</f>
        <v>15000</v>
      </c>
      <c r="O3" s="25">
        <f t="shared" ref="O3:O24" si="10">IF(G3&gt;=30000, N3*40%, 0)</f>
        <v>0</v>
      </c>
      <c r="P3" s="25">
        <f t="shared" ref="P3:P24" si="11">MAX(0, G3-N3-O3)</f>
        <v>5000</v>
      </c>
      <c r="Q3" s="83">
        <f t="shared" si="2"/>
        <v>0</v>
      </c>
      <c r="R3" s="26">
        <f>IF($G3="","",$G3+MonthlyPayroll[[#This Row],[Attendance 
Bonus]])</f>
        <v>20000</v>
      </c>
      <c r="S3" s="27">
        <f>IF(MonthlyPayroll[[#This Row],[Basic]]&gt;15000, 15000,MonthlyPayroll[[#This Row],[Basic]])</f>
        <v>15000</v>
      </c>
      <c r="T3" s="27">
        <f t="shared" ref="T3:T24" si="12">IF(I3="YES",
ROUNDUP(MIN(N3,15000)*12%,0)
+ IF(G3&gt;=25000, ROUND(MIN(N3,15000)*13%,0), 0),
0)</f>
        <v>1800</v>
      </c>
      <c r="U3" s="27">
        <f>IF(MonthlyPayroll[[#This Row],[Actual 
Gross]]&gt;21000,0,(MonthlyPayroll[[#This Row],[Basic]]+MonthlyPayroll[[#This Row],[HRA]]+MonthlyPayroll[[#This Row],[Other allowance]]))</f>
        <v>20000</v>
      </c>
      <c r="V3" s="27">
        <f t="shared" ref="V3:V24" si="13">IF(J3="YES",
ROUNDUP((R3 ) * 0.75%, 0),
0)</f>
        <v>150</v>
      </c>
      <c r="W3" s="28">
        <f t="shared" si="3"/>
        <v>150</v>
      </c>
      <c r="X3" s="27">
        <f>MonthlyPayroll[[#This Row],[Employee PF]]+MonthlyPayroll[[#This Row],[Employee ESIC]]+MonthlyPayroll[[#This Row],[PT]]</f>
        <v>2100</v>
      </c>
      <c r="Y3" s="26">
        <f t="shared" si="4"/>
        <v>17900</v>
      </c>
      <c r="Z3" s="29">
        <f t="shared" si="5"/>
        <v>1950</v>
      </c>
      <c r="AA3" s="29">
        <f t="shared" ref="AA3:AA24" si="14">IF(J3="YES",
   ROUNDUP((R3) * 3.25%, 0),
   0
)</f>
        <v>650</v>
      </c>
      <c r="AB3" s="26">
        <f t="shared" si="6"/>
        <v>22600</v>
      </c>
      <c r="AC3" s="26">
        <f t="shared" si="7"/>
        <v>271200</v>
      </c>
      <c r="AD3" t="str">
        <f t="shared" si="8"/>
        <v/>
      </c>
    </row>
    <row r="4" spans="1:30" x14ac:dyDescent="0.3">
      <c r="A4" s="23">
        <v>3</v>
      </c>
      <c r="B4" s="17" t="s">
        <v>60</v>
      </c>
      <c r="C4" s="17" t="s">
        <v>61</v>
      </c>
      <c r="D4" s="18" t="s">
        <v>62</v>
      </c>
      <c r="E4" s="19" t="s">
        <v>63</v>
      </c>
      <c r="F4" s="20">
        <v>12720</v>
      </c>
      <c r="G4" s="21">
        <v>12720</v>
      </c>
      <c r="H4" s="24" t="s">
        <v>56</v>
      </c>
      <c r="I4" s="23" t="str">
        <f t="shared" si="0"/>
        <v>YES</v>
      </c>
      <c r="J4" s="23" t="str">
        <f t="shared" si="1"/>
        <v>YES</v>
      </c>
      <c r="K4" s="23">
        <v>26</v>
      </c>
      <c r="L4" s="23">
        <v>1</v>
      </c>
      <c r="M4" s="23">
        <f>MonthlyPayroll[[#This Row],[Total 
Days]]-MonthlyPayroll[[#This Row],[Loss of Pay days]]</f>
        <v>25</v>
      </c>
      <c r="N4" s="25">
        <f t="shared" si="9"/>
        <v>12720</v>
      </c>
      <c r="O4" s="25">
        <f t="shared" si="10"/>
        <v>0</v>
      </c>
      <c r="P4" s="25">
        <f t="shared" si="11"/>
        <v>0</v>
      </c>
      <c r="Q4" s="83">
        <f t="shared" si="2"/>
        <v>0</v>
      </c>
      <c r="R4" s="26">
        <f>IF($G4="","",$G4+MonthlyPayroll[[#This Row],[Attendance 
Bonus]])</f>
        <v>12720</v>
      </c>
      <c r="S4" s="27">
        <f>IF(MonthlyPayroll[[#This Row],[Basic]]&gt;15000, 15000,MonthlyPayroll[[#This Row],[Basic]])</f>
        <v>12720</v>
      </c>
      <c r="T4" s="27">
        <f t="shared" si="12"/>
        <v>1527</v>
      </c>
      <c r="U4" s="27">
        <f>IF(MonthlyPayroll[[#This Row],[Actual 
Gross]]&gt;21000,0,(MonthlyPayroll[[#This Row],[Basic]]+MonthlyPayroll[[#This Row],[HRA]]+MonthlyPayroll[[#This Row],[Other allowance]]))</f>
        <v>12720</v>
      </c>
      <c r="V4" s="27">
        <f t="shared" si="13"/>
        <v>96</v>
      </c>
      <c r="W4" s="28">
        <f t="shared" si="3"/>
        <v>0</v>
      </c>
      <c r="X4" s="27">
        <f>MonthlyPayroll[[#This Row],[Employee PF]]+MonthlyPayroll[[#This Row],[Employee ESIC]]+MonthlyPayroll[[#This Row],[PT]]</f>
        <v>1623</v>
      </c>
      <c r="Y4" s="26">
        <f t="shared" si="4"/>
        <v>11097</v>
      </c>
      <c r="Z4" s="29">
        <f t="shared" si="5"/>
        <v>1654</v>
      </c>
      <c r="AA4" s="29">
        <f t="shared" si="14"/>
        <v>414</v>
      </c>
      <c r="AB4" s="26">
        <f t="shared" si="6"/>
        <v>14788</v>
      </c>
      <c r="AC4" s="26">
        <f t="shared" si="7"/>
        <v>177456</v>
      </c>
      <c r="AD4" t="str">
        <f t="shared" si="8"/>
        <v/>
      </c>
    </row>
    <row r="5" spans="1:30" x14ac:dyDescent="0.3">
      <c r="A5" s="23">
        <v>4</v>
      </c>
      <c r="B5" s="17" t="s">
        <v>64</v>
      </c>
      <c r="C5" s="17" t="s">
        <v>53</v>
      </c>
      <c r="D5" s="18" t="s">
        <v>54</v>
      </c>
      <c r="E5" s="19" t="s">
        <v>65</v>
      </c>
      <c r="F5" s="20">
        <v>13629</v>
      </c>
      <c r="G5" s="21">
        <v>16000</v>
      </c>
      <c r="H5" s="24" t="s">
        <v>56</v>
      </c>
      <c r="I5" s="23" t="str">
        <f t="shared" si="0"/>
        <v>YES</v>
      </c>
      <c r="J5" s="23" t="str">
        <f t="shared" si="1"/>
        <v>YES</v>
      </c>
      <c r="K5" s="23">
        <v>26</v>
      </c>
      <c r="L5" s="23">
        <v>1</v>
      </c>
      <c r="M5" s="23">
        <f>MonthlyPayroll[[#This Row],[Total 
Days]]-MonthlyPayroll[[#This Row],[Loss of Pay days]]</f>
        <v>25</v>
      </c>
      <c r="N5" s="25">
        <f t="shared" si="9"/>
        <v>15000</v>
      </c>
      <c r="O5" s="25">
        <f t="shared" si="10"/>
        <v>0</v>
      </c>
      <c r="P5" s="25">
        <f t="shared" si="11"/>
        <v>1000</v>
      </c>
      <c r="Q5" s="83">
        <f t="shared" si="2"/>
        <v>0</v>
      </c>
      <c r="R5" s="26">
        <f>IF($G5="","",$G5+MonthlyPayroll[[#This Row],[Attendance 
Bonus]])</f>
        <v>16000</v>
      </c>
      <c r="S5" s="27">
        <f>IF(MonthlyPayroll[[#This Row],[Basic]]&gt;15000, 15000,MonthlyPayroll[[#This Row],[Basic]])</f>
        <v>15000</v>
      </c>
      <c r="T5" s="27">
        <f t="shared" si="12"/>
        <v>1800</v>
      </c>
      <c r="U5" s="27">
        <f>IF(MonthlyPayroll[[#This Row],[Actual 
Gross]]&gt;21000,0,(MonthlyPayroll[[#This Row],[Basic]]+MonthlyPayroll[[#This Row],[HRA]]+MonthlyPayroll[[#This Row],[Other allowance]]))</f>
        <v>16000</v>
      </c>
      <c r="V5" s="27">
        <f t="shared" si="13"/>
        <v>120</v>
      </c>
      <c r="W5" s="28">
        <f t="shared" si="3"/>
        <v>150</v>
      </c>
      <c r="X5" s="27">
        <f>MonthlyPayroll[[#This Row],[Employee PF]]+MonthlyPayroll[[#This Row],[Employee ESIC]]+MonthlyPayroll[[#This Row],[PT]]</f>
        <v>2070</v>
      </c>
      <c r="Y5" s="26">
        <f t="shared" si="4"/>
        <v>13930</v>
      </c>
      <c r="Z5" s="29">
        <f t="shared" si="5"/>
        <v>1950</v>
      </c>
      <c r="AA5" s="29">
        <f t="shared" si="14"/>
        <v>520</v>
      </c>
      <c r="AB5" s="26">
        <f t="shared" si="6"/>
        <v>18470</v>
      </c>
      <c r="AC5" s="26">
        <f t="shared" si="7"/>
        <v>221640</v>
      </c>
      <c r="AD5" t="str">
        <f t="shared" si="8"/>
        <v/>
      </c>
    </row>
    <row r="6" spans="1:30" x14ac:dyDescent="0.3">
      <c r="A6" s="23">
        <v>5</v>
      </c>
      <c r="B6" s="17" t="s">
        <v>66</v>
      </c>
      <c r="C6" s="17" t="s">
        <v>67</v>
      </c>
      <c r="D6" s="18" t="s">
        <v>62</v>
      </c>
      <c r="E6" s="19" t="s">
        <v>63</v>
      </c>
      <c r="F6" s="20">
        <v>12720</v>
      </c>
      <c r="G6" s="21">
        <v>12720</v>
      </c>
      <c r="H6" s="24" t="s">
        <v>56</v>
      </c>
      <c r="I6" s="23" t="str">
        <f t="shared" si="0"/>
        <v>YES</v>
      </c>
      <c r="J6" s="23" t="str">
        <f t="shared" si="1"/>
        <v>YES</v>
      </c>
      <c r="K6" s="23">
        <v>26</v>
      </c>
      <c r="L6" s="23">
        <v>1</v>
      </c>
      <c r="M6" s="23">
        <f>MonthlyPayroll[[#This Row],[Total 
Days]]-MonthlyPayroll[[#This Row],[Loss of Pay days]]</f>
        <v>25</v>
      </c>
      <c r="N6" s="25">
        <f t="shared" si="9"/>
        <v>12720</v>
      </c>
      <c r="O6" s="25">
        <f t="shared" si="10"/>
        <v>0</v>
      </c>
      <c r="P6" s="25">
        <f t="shared" si="11"/>
        <v>0</v>
      </c>
      <c r="Q6" s="83">
        <f t="shared" si="2"/>
        <v>0</v>
      </c>
      <c r="R6" s="26">
        <f>IF($G6="","",$G6+MonthlyPayroll[[#This Row],[Attendance 
Bonus]])</f>
        <v>12720</v>
      </c>
      <c r="S6" s="27">
        <f>IF(MonthlyPayroll[[#This Row],[Basic]]&gt;15000, 15000,MonthlyPayroll[[#This Row],[Basic]])</f>
        <v>12720</v>
      </c>
      <c r="T6" s="27">
        <f t="shared" si="12"/>
        <v>1527</v>
      </c>
      <c r="U6" s="27">
        <f>IF(MonthlyPayroll[[#This Row],[Actual 
Gross]]&gt;21000,0,(MonthlyPayroll[[#This Row],[Basic]]+MonthlyPayroll[[#This Row],[HRA]]+MonthlyPayroll[[#This Row],[Other allowance]]))</f>
        <v>12720</v>
      </c>
      <c r="V6" s="27">
        <f t="shared" si="13"/>
        <v>96</v>
      </c>
      <c r="W6" s="28">
        <f t="shared" si="3"/>
        <v>0</v>
      </c>
      <c r="X6" s="27">
        <f>MonthlyPayroll[[#This Row],[Employee PF]]+MonthlyPayroll[[#This Row],[Employee ESIC]]+MonthlyPayroll[[#This Row],[PT]]</f>
        <v>1623</v>
      </c>
      <c r="Y6" s="26">
        <f t="shared" si="4"/>
        <v>11097</v>
      </c>
      <c r="Z6" s="29">
        <f t="shared" si="5"/>
        <v>1654</v>
      </c>
      <c r="AA6" s="29">
        <f t="shared" si="14"/>
        <v>414</v>
      </c>
      <c r="AB6" s="26">
        <f t="shared" si="6"/>
        <v>14788</v>
      </c>
      <c r="AC6" s="26">
        <f t="shared" si="7"/>
        <v>177456</v>
      </c>
      <c r="AD6" t="str">
        <f t="shared" si="8"/>
        <v/>
      </c>
    </row>
    <row r="7" spans="1:30" x14ac:dyDescent="0.3">
      <c r="A7" s="23">
        <v>6</v>
      </c>
      <c r="B7" s="17" t="s">
        <v>68</v>
      </c>
      <c r="C7" s="17" t="s">
        <v>67</v>
      </c>
      <c r="D7" s="18" t="s">
        <v>62</v>
      </c>
      <c r="E7" s="19" t="s">
        <v>63</v>
      </c>
      <c r="F7" s="20">
        <v>12720</v>
      </c>
      <c r="G7" s="21">
        <v>12720</v>
      </c>
      <c r="H7" s="24" t="s">
        <v>56</v>
      </c>
      <c r="I7" s="23" t="str">
        <f t="shared" si="0"/>
        <v>YES</v>
      </c>
      <c r="J7" s="23" t="str">
        <f t="shared" si="1"/>
        <v>YES</v>
      </c>
      <c r="K7" s="23">
        <v>26</v>
      </c>
      <c r="L7" s="23">
        <v>1</v>
      </c>
      <c r="M7" s="23">
        <f>MonthlyPayroll[[#This Row],[Total 
Days]]-MonthlyPayroll[[#This Row],[Loss of Pay days]]</f>
        <v>25</v>
      </c>
      <c r="N7" s="25">
        <f t="shared" si="9"/>
        <v>12720</v>
      </c>
      <c r="O7" s="25">
        <f t="shared" si="10"/>
        <v>0</v>
      </c>
      <c r="P7" s="25">
        <f t="shared" si="11"/>
        <v>0</v>
      </c>
      <c r="Q7" s="83">
        <f t="shared" si="2"/>
        <v>0</v>
      </c>
      <c r="R7" s="26">
        <f>IF($G7="","",$G7+MonthlyPayroll[[#This Row],[Attendance 
Bonus]])</f>
        <v>12720</v>
      </c>
      <c r="S7" s="27">
        <f>IF(MonthlyPayroll[[#This Row],[Basic]]&gt;15000, 15000,MonthlyPayroll[[#This Row],[Basic]])</f>
        <v>12720</v>
      </c>
      <c r="T7" s="27">
        <f t="shared" si="12"/>
        <v>1527</v>
      </c>
      <c r="U7" s="27">
        <f>IF(MonthlyPayroll[[#This Row],[Actual 
Gross]]&gt;21000,0,(MonthlyPayroll[[#This Row],[Basic]]+MonthlyPayroll[[#This Row],[HRA]]+MonthlyPayroll[[#This Row],[Other allowance]]))</f>
        <v>12720</v>
      </c>
      <c r="V7" s="27">
        <f t="shared" si="13"/>
        <v>96</v>
      </c>
      <c r="W7" s="28">
        <f t="shared" si="3"/>
        <v>0</v>
      </c>
      <c r="X7" s="27">
        <f>MonthlyPayroll[[#This Row],[Employee PF]]+MonthlyPayroll[[#This Row],[Employee ESIC]]+MonthlyPayroll[[#This Row],[PT]]</f>
        <v>1623</v>
      </c>
      <c r="Y7" s="26">
        <f t="shared" si="4"/>
        <v>11097</v>
      </c>
      <c r="Z7" s="29">
        <f t="shared" si="5"/>
        <v>1654</v>
      </c>
      <c r="AA7" s="29">
        <f t="shared" si="14"/>
        <v>414</v>
      </c>
      <c r="AB7" s="26">
        <f t="shared" si="6"/>
        <v>14788</v>
      </c>
      <c r="AC7" s="26">
        <f t="shared" si="7"/>
        <v>177456</v>
      </c>
      <c r="AD7" t="str">
        <f t="shared" si="8"/>
        <v/>
      </c>
    </row>
    <row r="8" spans="1:30" x14ac:dyDescent="0.3">
      <c r="A8" s="23">
        <v>7</v>
      </c>
      <c r="B8" s="17" t="s">
        <v>69</v>
      </c>
      <c r="C8" s="17" t="s">
        <v>70</v>
      </c>
      <c r="D8" s="18" t="s">
        <v>62</v>
      </c>
      <c r="E8" s="19" t="s">
        <v>63</v>
      </c>
      <c r="F8" s="20">
        <v>12720</v>
      </c>
      <c r="G8" s="21">
        <v>12720</v>
      </c>
      <c r="H8" s="24" t="s">
        <v>56</v>
      </c>
      <c r="I8" s="23" t="str">
        <f t="shared" si="0"/>
        <v>YES</v>
      </c>
      <c r="J8" s="23" t="str">
        <f t="shared" si="1"/>
        <v>YES</v>
      </c>
      <c r="K8" s="23">
        <v>26</v>
      </c>
      <c r="L8" s="23">
        <v>1</v>
      </c>
      <c r="M8" s="23">
        <f>MonthlyPayroll[[#This Row],[Total 
Days]]-MonthlyPayroll[[#This Row],[Loss of Pay days]]</f>
        <v>25</v>
      </c>
      <c r="N8" s="25">
        <f t="shared" si="9"/>
        <v>12720</v>
      </c>
      <c r="O8" s="25">
        <f t="shared" si="10"/>
        <v>0</v>
      </c>
      <c r="P8" s="25">
        <f t="shared" si="11"/>
        <v>0</v>
      </c>
      <c r="Q8" s="83">
        <f t="shared" si="2"/>
        <v>0</v>
      </c>
      <c r="R8" s="26">
        <f>IF($G8="","",$G8+MonthlyPayroll[[#This Row],[Attendance 
Bonus]])</f>
        <v>12720</v>
      </c>
      <c r="S8" s="27">
        <f>IF(MonthlyPayroll[[#This Row],[Basic]]&gt;15000, 15000,MonthlyPayroll[[#This Row],[Basic]])</f>
        <v>12720</v>
      </c>
      <c r="T8" s="27">
        <f t="shared" si="12"/>
        <v>1527</v>
      </c>
      <c r="U8" s="27">
        <f>IF(MonthlyPayroll[[#This Row],[Actual 
Gross]]&gt;21000,0,(MonthlyPayroll[[#This Row],[Basic]]+MonthlyPayroll[[#This Row],[HRA]]+MonthlyPayroll[[#This Row],[Other allowance]]))</f>
        <v>12720</v>
      </c>
      <c r="V8" s="27">
        <f t="shared" si="13"/>
        <v>96</v>
      </c>
      <c r="W8" s="28">
        <f t="shared" si="3"/>
        <v>0</v>
      </c>
      <c r="X8" s="27">
        <f>MonthlyPayroll[[#This Row],[Employee PF]]+MonthlyPayroll[[#This Row],[Employee ESIC]]+MonthlyPayroll[[#This Row],[PT]]</f>
        <v>1623</v>
      </c>
      <c r="Y8" s="26">
        <f t="shared" si="4"/>
        <v>11097</v>
      </c>
      <c r="Z8" s="29">
        <f t="shared" si="5"/>
        <v>1654</v>
      </c>
      <c r="AA8" s="29">
        <f t="shared" si="14"/>
        <v>414</v>
      </c>
      <c r="AB8" s="26">
        <f t="shared" si="6"/>
        <v>14788</v>
      </c>
      <c r="AC8" s="26">
        <f t="shared" si="7"/>
        <v>177456</v>
      </c>
      <c r="AD8" t="str">
        <f t="shared" si="8"/>
        <v/>
      </c>
    </row>
    <row r="9" spans="1:30" x14ac:dyDescent="0.3">
      <c r="A9" s="23">
        <v>8</v>
      </c>
      <c r="B9" s="17" t="s">
        <v>71</v>
      </c>
      <c r="C9" s="17" t="s">
        <v>72</v>
      </c>
      <c r="D9" s="18" t="s">
        <v>54</v>
      </c>
      <c r="E9" s="19" t="s">
        <v>55</v>
      </c>
      <c r="F9" s="20">
        <v>14051</v>
      </c>
      <c r="G9" s="21">
        <v>18000</v>
      </c>
      <c r="H9" s="24" t="s">
        <v>73</v>
      </c>
      <c r="I9" s="23" t="s">
        <v>73</v>
      </c>
      <c r="J9" s="23" t="str">
        <f t="shared" si="1"/>
        <v>YES</v>
      </c>
      <c r="K9" s="23">
        <v>26</v>
      </c>
      <c r="L9" s="23">
        <v>1</v>
      </c>
      <c r="M9" s="23">
        <f>MonthlyPayroll[[#This Row],[Total 
Days]]-MonthlyPayroll[[#This Row],[Loss of Pay days]]</f>
        <v>25</v>
      </c>
      <c r="N9" s="25">
        <f t="shared" si="9"/>
        <v>15000</v>
      </c>
      <c r="O9" s="25">
        <f t="shared" si="10"/>
        <v>0</v>
      </c>
      <c r="P9" s="25">
        <f t="shared" si="11"/>
        <v>3000</v>
      </c>
      <c r="Q9" s="83">
        <f t="shared" si="2"/>
        <v>0</v>
      </c>
      <c r="R9" s="26">
        <f>IF($G9="","",$G9+MonthlyPayroll[[#This Row],[Attendance 
Bonus]])</f>
        <v>18000</v>
      </c>
      <c r="S9" s="27">
        <v>0</v>
      </c>
      <c r="T9" s="27">
        <f t="shared" si="12"/>
        <v>0</v>
      </c>
      <c r="U9" s="27">
        <f>IF(MonthlyPayroll[[#This Row],[Actual 
Gross]]&gt;21000,0,(MonthlyPayroll[[#This Row],[Basic]]+MonthlyPayroll[[#This Row],[HRA]]+MonthlyPayroll[[#This Row],[Other allowance]]))</f>
        <v>18000</v>
      </c>
      <c r="V9" s="27">
        <f t="shared" si="13"/>
        <v>135</v>
      </c>
      <c r="W9" s="28">
        <f t="shared" si="3"/>
        <v>150</v>
      </c>
      <c r="X9" s="27">
        <f>MonthlyPayroll[[#This Row],[Employee PF]]+MonthlyPayroll[[#This Row],[Employee ESIC]]+MonthlyPayroll[[#This Row],[PT]]</f>
        <v>285</v>
      </c>
      <c r="Y9" s="26">
        <f t="shared" si="4"/>
        <v>17715</v>
      </c>
      <c r="Z9" s="29">
        <f t="shared" si="5"/>
        <v>0</v>
      </c>
      <c r="AA9" s="29">
        <f t="shared" si="14"/>
        <v>585</v>
      </c>
      <c r="AB9" s="26">
        <f t="shared" si="6"/>
        <v>18585</v>
      </c>
      <c r="AC9" s="26">
        <f t="shared" si="7"/>
        <v>223020</v>
      </c>
      <c r="AD9" t="str">
        <f t="shared" si="8"/>
        <v/>
      </c>
    </row>
    <row r="10" spans="1:30" x14ac:dyDescent="0.3">
      <c r="A10" s="23">
        <v>9</v>
      </c>
      <c r="B10" s="17" t="s">
        <v>74</v>
      </c>
      <c r="C10" s="17" t="s">
        <v>75</v>
      </c>
      <c r="D10" s="18" t="s">
        <v>76</v>
      </c>
      <c r="E10" s="19" t="s">
        <v>77</v>
      </c>
      <c r="F10" s="20">
        <v>13417</v>
      </c>
      <c r="G10" s="21">
        <v>15000</v>
      </c>
      <c r="H10" s="24" t="s">
        <v>56</v>
      </c>
      <c r="I10" s="23" t="str">
        <f t="shared" si="0"/>
        <v>YES</v>
      </c>
      <c r="J10" s="23" t="str">
        <f t="shared" si="1"/>
        <v>YES</v>
      </c>
      <c r="K10" s="23">
        <v>26</v>
      </c>
      <c r="L10" s="23">
        <v>1</v>
      </c>
      <c r="M10" s="23">
        <f>MonthlyPayroll[[#This Row],[Total 
Days]]-MonthlyPayroll[[#This Row],[Loss of Pay days]]</f>
        <v>25</v>
      </c>
      <c r="N10" s="25">
        <f t="shared" si="9"/>
        <v>15000</v>
      </c>
      <c r="O10" s="25">
        <f t="shared" si="10"/>
        <v>0</v>
      </c>
      <c r="P10" s="25">
        <f t="shared" si="11"/>
        <v>0</v>
      </c>
      <c r="Q10" s="83">
        <f t="shared" si="2"/>
        <v>0</v>
      </c>
      <c r="R10" s="26">
        <f>IF($G10="","",$G10+MonthlyPayroll[[#This Row],[Attendance 
Bonus]])</f>
        <v>15000</v>
      </c>
      <c r="S10" s="27">
        <f>IF(MonthlyPayroll[[#This Row],[Basic]]&gt;15000, 15000,MonthlyPayroll[[#This Row],[Basic]])</f>
        <v>15000</v>
      </c>
      <c r="T10" s="27">
        <f t="shared" si="12"/>
        <v>1800</v>
      </c>
      <c r="U10" s="27">
        <f>IF(MonthlyPayroll[[#This Row],[Actual 
Gross]]&gt;21000,0,(MonthlyPayroll[[#This Row],[Basic]]+MonthlyPayroll[[#This Row],[HRA]]+MonthlyPayroll[[#This Row],[Other allowance]]))</f>
        <v>15000</v>
      </c>
      <c r="V10" s="27">
        <f t="shared" si="13"/>
        <v>113</v>
      </c>
      <c r="W10" s="28">
        <f t="shared" si="3"/>
        <v>0</v>
      </c>
      <c r="X10" s="27">
        <f>MonthlyPayroll[[#This Row],[Employee PF]]+MonthlyPayroll[[#This Row],[Employee ESIC]]+MonthlyPayroll[[#This Row],[PT]]</f>
        <v>1913</v>
      </c>
      <c r="Y10" s="26">
        <f t="shared" si="4"/>
        <v>13087</v>
      </c>
      <c r="Z10" s="29">
        <f t="shared" si="5"/>
        <v>1950</v>
      </c>
      <c r="AA10" s="29">
        <f t="shared" si="14"/>
        <v>488</v>
      </c>
      <c r="AB10" s="26">
        <f t="shared" si="6"/>
        <v>17438</v>
      </c>
      <c r="AC10" s="26">
        <f t="shared" si="7"/>
        <v>209256</v>
      </c>
      <c r="AD10" t="str">
        <f t="shared" si="8"/>
        <v/>
      </c>
    </row>
    <row r="11" spans="1:30" x14ac:dyDescent="0.3">
      <c r="A11" s="23">
        <v>10</v>
      </c>
      <c r="B11" s="17" t="s">
        <v>78</v>
      </c>
      <c r="C11" s="17" t="s">
        <v>79</v>
      </c>
      <c r="D11" s="18" t="s">
        <v>62</v>
      </c>
      <c r="E11" s="19" t="s">
        <v>63</v>
      </c>
      <c r="F11" s="20">
        <v>12720</v>
      </c>
      <c r="G11" s="21">
        <v>12720</v>
      </c>
      <c r="H11" s="24" t="s">
        <v>56</v>
      </c>
      <c r="I11" s="23" t="str">
        <f t="shared" si="0"/>
        <v>YES</v>
      </c>
      <c r="J11" s="23" t="str">
        <f t="shared" si="1"/>
        <v>YES</v>
      </c>
      <c r="K11" s="23">
        <v>26</v>
      </c>
      <c r="L11" s="23">
        <v>1</v>
      </c>
      <c r="M11" s="23">
        <f>MonthlyPayroll[[#This Row],[Total 
Days]]-MonthlyPayroll[[#This Row],[Loss of Pay days]]</f>
        <v>25</v>
      </c>
      <c r="N11" s="25">
        <f t="shared" si="9"/>
        <v>12720</v>
      </c>
      <c r="O11" s="25">
        <f t="shared" si="10"/>
        <v>0</v>
      </c>
      <c r="P11" s="25">
        <f t="shared" si="11"/>
        <v>0</v>
      </c>
      <c r="Q11" s="83">
        <f t="shared" si="2"/>
        <v>0</v>
      </c>
      <c r="R11" s="26">
        <f>IF($G11="","",$G11+MonthlyPayroll[[#This Row],[Attendance 
Bonus]])</f>
        <v>12720</v>
      </c>
      <c r="S11" s="27">
        <f>IF(MonthlyPayroll[[#This Row],[Basic]]&gt;15000, 15000,MonthlyPayroll[[#This Row],[Basic]])</f>
        <v>12720</v>
      </c>
      <c r="T11" s="27">
        <f t="shared" si="12"/>
        <v>1527</v>
      </c>
      <c r="U11" s="27">
        <f>IF(MonthlyPayroll[[#This Row],[Actual 
Gross]]&gt;21000,0,(MonthlyPayroll[[#This Row],[Basic]]+MonthlyPayroll[[#This Row],[HRA]]+MonthlyPayroll[[#This Row],[Other allowance]]))</f>
        <v>12720</v>
      </c>
      <c r="V11" s="27">
        <f t="shared" si="13"/>
        <v>96</v>
      </c>
      <c r="W11" s="28">
        <f t="shared" si="3"/>
        <v>0</v>
      </c>
      <c r="X11" s="27">
        <f>MonthlyPayroll[[#This Row],[Employee PF]]+MonthlyPayroll[[#This Row],[Employee ESIC]]+MonthlyPayroll[[#This Row],[PT]]</f>
        <v>1623</v>
      </c>
      <c r="Y11" s="26">
        <f t="shared" si="4"/>
        <v>11097</v>
      </c>
      <c r="Z11" s="29">
        <f t="shared" si="5"/>
        <v>1654</v>
      </c>
      <c r="AA11" s="29">
        <f t="shared" si="14"/>
        <v>414</v>
      </c>
      <c r="AB11" s="26">
        <f t="shared" si="6"/>
        <v>14788</v>
      </c>
      <c r="AC11" s="26">
        <f t="shared" si="7"/>
        <v>177456</v>
      </c>
      <c r="AD11" t="str">
        <f t="shared" si="8"/>
        <v/>
      </c>
    </row>
    <row r="12" spans="1:30" x14ac:dyDescent="0.3">
      <c r="A12" s="23">
        <v>11</v>
      </c>
      <c r="B12" s="17" t="s">
        <v>80</v>
      </c>
      <c r="C12" s="17" t="s">
        <v>81</v>
      </c>
      <c r="D12" s="18" t="s">
        <v>82</v>
      </c>
      <c r="E12" s="19" t="s">
        <v>55</v>
      </c>
      <c r="F12" s="20">
        <v>14051</v>
      </c>
      <c r="G12" s="21">
        <v>18000</v>
      </c>
      <c r="H12" s="24" t="s">
        <v>56</v>
      </c>
      <c r="I12" s="23" t="str">
        <f t="shared" si="0"/>
        <v>YES</v>
      </c>
      <c r="J12" s="23" t="str">
        <f t="shared" si="1"/>
        <v>YES</v>
      </c>
      <c r="K12" s="23">
        <v>26</v>
      </c>
      <c r="L12" s="23">
        <v>1</v>
      </c>
      <c r="M12" s="23">
        <f>MonthlyPayroll[[#This Row],[Total 
Days]]-MonthlyPayroll[[#This Row],[Loss of Pay days]]</f>
        <v>25</v>
      </c>
      <c r="N12" s="25">
        <f t="shared" si="9"/>
        <v>15000</v>
      </c>
      <c r="O12" s="25">
        <f t="shared" si="10"/>
        <v>0</v>
      </c>
      <c r="P12" s="25">
        <f t="shared" si="11"/>
        <v>3000</v>
      </c>
      <c r="Q12" s="83">
        <f t="shared" si="2"/>
        <v>0</v>
      </c>
      <c r="R12" s="26">
        <f>IF($G12="","",$G12+MonthlyPayroll[[#This Row],[Attendance 
Bonus]])</f>
        <v>18000</v>
      </c>
      <c r="S12" s="27">
        <f>IF(MonthlyPayroll[[#This Row],[Basic]]&gt;15000, 15000,MonthlyPayroll[[#This Row],[Basic]])</f>
        <v>15000</v>
      </c>
      <c r="T12" s="27">
        <f t="shared" si="12"/>
        <v>1800</v>
      </c>
      <c r="U12" s="27">
        <f>IF(MonthlyPayroll[[#This Row],[Actual 
Gross]]&gt;21000,0,(MonthlyPayroll[[#This Row],[Basic]]+MonthlyPayroll[[#This Row],[HRA]]+MonthlyPayroll[[#This Row],[Other allowance]]))</f>
        <v>18000</v>
      </c>
      <c r="V12" s="27">
        <f t="shared" si="13"/>
        <v>135</v>
      </c>
      <c r="W12" s="28">
        <f t="shared" si="3"/>
        <v>150</v>
      </c>
      <c r="X12" s="27">
        <f>MonthlyPayroll[[#This Row],[Employee PF]]+MonthlyPayroll[[#This Row],[Employee ESIC]]+MonthlyPayroll[[#This Row],[PT]]</f>
        <v>2085</v>
      </c>
      <c r="Y12" s="26">
        <f t="shared" si="4"/>
        <v>15915</v>
      </c>
      <c r="Z12" s="29">
        <f t="shared" si="5"/>
        <v>1950</v>
      </c>
      <c r="AA12" s="29">
        <f t="shared" si="14"/>
        <v>585</v>
      </c>
      <c r="AB12" s="26">
        <f t="shared" si="6"/>
        <v>20535</v>
      </c>
      <c r="AC12" s="26">
        <f t="shared" si="7"/>
        <v>246420</v>
      </c>
      <c r="AD12" t="str">
        <f t="shared" si="8"/>
        <v/>
      </c>
    </row>
    <row r="13" spans="1:30" x14ac:dyDescent="0.3">
      <c r="A13" s="23">
        <v>12</v>
      </c>
      <c r="B13" s="17" t="s">
        <v>83</v>
      </c>
      <c r="C13" s="17" t="s">
        <v>67</v>
      </c>
      <c r="D13" s="18" t="s">
        <v>62</v>
      </c>
      <c r="E13" s="19" t="s">
        <v>63</v>
      </c>
      <c r="F13" s="20">
        <v>12720</v>
      </c>
      <c r="G13" s="21">
        <v>12720</v>
      </c>
      <c r="H13" s="24" t="s">
        <v>56</v>
      </c>
      <c r="I13" s="23" t="str">
        <f t="shared" si="0"/>
        <v>YES</v>
      </c>
      <c r="J13" s="23" t="str">
        <f t="shared" si="1"/>
        <v>YES</v>
      </c>
      <c r="K13" s="23">
        <v>26</v>
      </c>
      <c r="L13" s="23">
        <v>1</v>
      </c>
      <c r="M13" s="23">
        <f>MonthlyPayroll[[#This Row],[Total 
Days]]-MonthlyPayroll[[#This Row],[Loss of Pay days]]</f>
        <v>25</v>
      </c>
      <c r="N13" s="25">
        <f t="shared" si="9"/>
        <v>12720</v>
      </c>
      <c r="O13" s="25">
        <f t="shared" si="10"/>
        <v>0</v>
      </c>
      <c r="P13" s="25">
        <f t="shared" si="11"/>
        <v>0</v>
      </c>
      <c r="Q13" s="83">
        <f t="shared" si="2"/>
        <v>0</v>
      </c>
      <c r="R13" s="26">
        <f>IF($G13="","",$G13+MonthlyPayroll[[#This Row],[Attendance 
Bonus]])</f>
        <v>12720</v>
      </c>
      <c r="S13" s="27">
        <f>IF(MonthlyPayroll[[#This Row],[Basic]]&gt;15000, 15000,MonthlyPayroll[[#This Row],[Basic]])</f>
        <v>12720</v>
      </c>
      <c r="T13" s="27">
        <f t="shared" si="12"/>
        <v>1527</v>
      </c>
      <c r="U13" s="27">
        <f>IF(MonthlyPayroll[[#This Row],[Actual 
Gross]]&gt;21000,0,(MonthlyPayroll[[#This Row],[Basic]]+MonthlyPayroll[[#This Row],[HRA]]+MonthlyPayroll[[#This Row],[Other allowance]]))</f>
        <v>12720</v>
      </c>
      <c r="V13" s="27">
        <f t="shared" si="13"/>
        <v>96</v>
      </c>
      <c r="W13" s="28">
        <f t="shared" si="3"/>
        <v>0</v>
      </c>
      <c r="X13" s="27">
        <f>MonthlyPayroll[[#This Row],[Employee PF]]+MonthlyPayroll[[#This Row],[Employee ESIC]]+MonthlyPayroll[[#This Row],[PT]]</f>
        <v>1623</v>
      </c>
      <c r="Y13" s="26">
        <f t="shared" si="4"/>
        <v>11097</v>
      </c>
      <c r="Z13" s="29">
        <f t="shared" si="5"/>
        <v>1654</v>
      </c>
      <c r="AA13" s="29">
        <f t="shared" si="14"/>
        <v>414</v>
      </c>
      <c r="AB13" s="26">
        <f t="shared" si="6"/>
        <v>14788</v>
      </c>
      <c r="AC13" s="26">
        <f t="shared" si="7"/>
        <v>177456</v>
      </c>
      <c r="AD13" t="str">
        <f t="shared" si="8"/>
        <v/>
      </c>
    </row>
    <row r="14" spans="1:30" x14ac:dyDescent="0.3">
      <c r="A14" s="23">
        <v>13</v>
      </c>
      <c r="B14" s="17" t="s">
        <v>84</v>
      </c>
      <c r="C14" s="17" t="s">
        <v>85</v>
      </c>
      <c r="D14" s="18" t="s">
        <v>76</v>
      </c>
      <c r="E14" s="19" t="s">
        <v>77</v>
      </c>
      <c r="F14" s="20">
        <v>13417</v>
      </c>
      <c r="G14" s="21">
        <v>15000</v>
      </c>
      <c r="H14" s="24" t="s">
        <v>56</v>
      </c>
      <c r="I14" s="23" t="str">
        <f t="shared" si="0"/>
        <v>YES</v>
      </c>
      <c r="J14" s="23" t="str">
        <f t="shared" si="1"/>
        <v>YES</v>
      </c>
      <c r="K14" s="23">
        <v>26</v>
      </c>
      <c r="L14" s="23">
        <v>1</v>
      </c>
      <c r="M14" s="23">
        <f>MonthlyPayroll[[#This Row],[Total 
Days]]-MonthlyPayroll[[#This Row],[Loss of Pay days]]</f>
        <v>25</v>
      </c>
      <c r="N14" s="25">
        <f t="shared" si="9"/>
        <v>15000</v>
      </c>
      <c r="O14" s="25">
        <f t="shared" si="10"/>
        <v>0</v>
      </c>
      <c r="P14" s="25">
        <f t="shared" si="11"/>
        <v>0</v>
      </c>
      <c r="Q14" s="83">
        <f t="shared" si="2"/>
        <v>0</v>
      </c>
      <c r="R14" s="26">
        <f>IF($G14="","",$G14+MonthlyPayroll[[#This Row],[Attendance 
Bonus]])</f>
        <v>15000</v>
      </c>
      <c r="S14" s="27">
        <f>IF(MonthlyPayroll[[#This Row],[Basic]]&gt;15000, 15000,MonthlyPayroll[[#This Row],[Basic]])</f>
        <v>15000</v>
      </c>
      <c r="T14" s="27">
        <f t="shared" si="12"/>
        <v>1800</v>
      </c>
      <c r="U14" s="27">
        <f>IF(MonthlyPayroll[[#This Row],[Actual 
Gross]]&gt;21000,0,(MonthlyPayroll[[#This Row],[Basic]]+MonthlyPayroll[[#This Row],[HRA]]+MonthlyPayroll[[#This Row],[Other allowance]]))</f>
        <v>15000</v>
      </c>
      <c r="V14" s="27">
        <f t="shared" si="13"/>
        <v>113</v>
      </c>
      <c r="W14" s="28">
        <f t="shared" si="3"/>
        <v>0</v>
      </c>
      <c r="X14" s="27">
        <f>MonthlyPayroll[[#This Row],[Employee PF]]+MonthlyPayroll[[#This Row],[Employee ESIC]]+MonthlyPayroll[[#This Row],[PT]]</f>
        <v>1913</v>
      </c>
      <c r="Y14" s="26">
        <f t="shared" si="4"/>
        <v>13087</v>
      </c>
      <c r="Z14" s="29">
        <f t="shared" si="5"/>
        <v>1950</v>
      </c>
      <c r="AA14" s="29">
        <f t="shared" si="14"/>
        <v>488</v>
      </c>
      <c r="AB14" s="26">
        <f t="shared" si="6"/>
        <v>17438</v>
      </c>
      <c r="AC14" s="26">
        <f t="shared" si="7"/>
        <v>209256</v>
      </c>
      <c r="AD14" t="str">
        <f t="shared" si="8"/>
        <v/>
      </c>
    </row>
    <row r="15" spans="1:30" x14ac:dyDescent="0.3">
      <c r="A15" s="23">
        <v>14</v>
      </c>
      <c r="B15" s="17" t="s">
        <v>86</v>
      </c>
      <c r="C15" s="17" t="s">
        <v>87</v>
      </c>
      <c r="D15" s="18" t="s">
        <v>88</v>
      </c>
      <c r="E15" s="19" t="s">
        <v>89</v>
      </c>
      <c r="F15" s="20">
        <v>15662</v>
      </c>
      <c r="G15" s="21">
        <v>50000</v>
      </c>
      <c r="H15" s="24" t="s">
        <v>56</v>
      </c>
      <c r="I15" s="23" t="str">
        <f t="shared" si="0"/>
        <v>YES</v>
      </c>
      <c r="J15" s="23" t="str">
        <f t="shared" si="1"/>
        <v>NO</v>
      </c>
      <c r="K15" s="23">
        <v>26</v>
      </c>
      <c r="L15" s="23">
        <v>1</v>
      </c>
      <c r="M15" s="23">
        <f>MonthlyPayroll[[#This Row],[Total 
Days]]-MonthlyPayroll[[#This Row],[Loss of Pay days]]</f>
        <v>25</v>
      </c>
      <c r="N15" s="25">
        <f t="shared" si="9"/>
        <v>25000</v>
      </c>
      <c r="O15" s="25">
        <f t="shared" si="10"/>
        <v>10000</v>
      </c>
      <c r="P15" s="25">
        <f t="shared" si="11"/>
        <v>15000</v>
      </c>
      <c r="Q15" s="83">
        <f t="shared" si="2"/>
        <v>0</v>
      </c>
      <c r="R15" s="26">
        <f>IF($G15="","",$G15+MonthlyPayroll[[#This Row],[Attendance 
Bonus]])</f>
        <v>50000</v>
      </c>
      <c r="S15" s="27">
        <f>IF(MonthlyPayroll[[#This Row],[Basic]]&gt;15000, 15000,MonthlyPayroll[[#This Row],[Basic]])</f>
        <v>15000</v>
      </c>
      <c r="T15" s="27">
        <f t="shared" si="12"/>
        <v>3750</v>
      </c>
      <c r="U15" s="27">
        <f>IF(MonthlyPayroll[[#This Row],[Actual 
Gross]]&gt;21000,0,(MonthlyPayroll[[#This Row],[Basic]]+MonthlyPayroll[[#This Row],[HRA]]+MonthlyPayroll[[#This Row],[Other allowance]]))</f>
        <v>0</v>
      </c>
      <c r="V15" s="27">
        <f t="shared" si="13"/>
        <v>0</v>
      </c>
      <c r="W15" s="28">
        <f t="shared" si="3"/>
        <v>200</v>
      </c>
      <c r="X15" s="27">
        <f>MonthlyPayroll[[#This Row],[Employee PF]]+MonthlyPayroll[[#This Row],[Employee ESIC]]+MonthlyPayroll[[#This Row],[PT]]</f>
        <v>3950</v>
      </c>
      <c r="Y15" s="26">
        <f t="shared" si="4"/>
        <v>46050</v>
      </c>
      <c r="Z15" s="29">
        <f t="shared" si="5"/>
        <v>0</v>
      </c>
      <c r="AA15" s="29">
        <f t="shared" si="14"/>
        <v>0</v>
      </c>
      <c r="AB15" s="26">
        <f t="shared" si="6"/>
        <v>50000</v>
      </c>
      <c r="AC15" s="26">
        <f t="shared" si="7"/>
        <v>600000</v>
      </c>
      <c r="AD15" t="str">
        <f t="shared" si="8"/>
        <v/>
      </c>
    </row>
    <row r="16" spans="1:30" x14ac:dyDescent="0.3">
      <c r="A16" s="23">
        <v>15</v>
      </c>
      <c r="B16" s="17" t="s">
        <v>90</v>
      </c>
      <c r="C16" s="17" t="s">
        <v>91</v>
      </c>
      <c r="D16" s="18" t="s">
        <v>76</v>
      </c>
      <c r="E16" s="19" t="s">
        <v>77</v>
      </c>
      <c r="F16" s="20">
        <v>13417</v>
      </c>
      <c r="G16" s="21">
        <v>15000</v>
      </c>
      <c r="H16" s="24" t="s">
        <v>73</v>
      </c>
      <c r="I16" s="23" t="s">
        <v>103</v>
      </c>
      <c r="J16" s="23" t="str">
        <f t="shared" si="1"/>
        <v>YES</v>
      </c>
      <c r="K16" s="23">
        <v>26</v>
      </c>
      <c r="L16" s="23">
        <v>1</v>
      </c>
      <c r="M16" s="23">
        <f>MonthlyPayroll[[#This Row],[Total 
Days]]-MonthlyPayroll[[#This Row],[Loss of Pay days]]</f>
        <v>25</v>
      </c>
      <c r="N16" s="25">
        <f t="shared" si="9"/>
        <v>15000</v>
      </c>
      <c r="O16" s="25">
        <f t="shared" si="10"/>
        <v>0</v>
      </c>
      <c r="P16" s="25">
        <f t="shared" si="11"/>
        <v>0</v>
      </c>
      <c r="Q16" s="83">
        <f t="shared" si="2"/>
        <v>0</v>
      </c>
      <c r="R16" s="26">
        <f>IF($G16="","",$G16+MonthlyPayroll[[#This Row],[Attendance 
Bonus]])</f>
        <v>15000</v>
      </c>
      <c r="S16" s="27">
        <v>0</v>
      </c>
      <c r="T16" s="27">
        <f t="shared" si="12"/>
        <v>0</v>
      </c>
      <c r="U16" s="27">
        <f>IF(MonthlyPayroll[[#This Row],[Actual 
Gross]]&gt;21000,0,(MonthlyPayroll[[#This Row],[Basic]]+MonthlyPayroll[[#This Row],[HRA]]+MonthlyPayroll[[#This Row],[Other allowance]]))</f>
        <v>15000</v>
      </c>
      <c r="V16" s="27">
        <f t="shared" si="13"/>
        <v>113</v>
      </c>
      <c r="W16" s="28">
        <f t="shared" si="3"/>
        <v>0</v>
      </c>
      <c r="X16" s="27">
        <f>MonthlyPayroll[[#This Row],[Employee PF]]+MonthlyPayroll[[#This Row],[Employee ESIC]]+MonthlyPayroll[[#This Row],[PT]]</f>
        <v>113</v>
      </c>
      <c r="Y16" s="26">
        <f t="shared" si="4"/>
        <v>14887</v>
      </c>
      <c r="Z16" s="29">
        <f t="shared" si="5"/>
        <v>0</v>
      </c>
      <c r="AA16" s="29">
        <f t="shared" si="14"/>
        <v>488</v>
      </c>
      <c r="AB16" s="26">
        <f t="shared" si="6"/>
        <v>15488</v>
      </c>
      <c r="AC16" s="26">
        <f t="shared" si="7"/>
        <v>185856</v>
      </c>
      <c r="AD16" t="str">
        <f t="shared" si="8"/>
        <v/>
      </c>
    </row>
    <row r="17" spans="1:30" x14ac:dyDescent="0.3">
      <c r="A17" s="23">
        <v>16</v>
      </c>
      <c r="B17" s="17" t="s">
        <v>92</v>
      </c>
      <c r="C17" s="17" t="s">
        <v>91</v>
      </c>
      <c r="D17" s="18" t="s">
        <v>76</v>
      </c>
      <c r="E17" s="19" t="s">
        <v>77</v>
      </c>
      <c r="F17" s="20">
        <v>13417</v>
      </c>
      <c r="G17" s="21">
        <v>15000</v>
      </c>
      <c r="H17" s="24" t="s">
        <v>73</v>
      </c>
      <c r="I17" s="23" t="s">
        <v>73</v>
      </c>
      <c r="J17" s="23" t="str">
        <f t="shared" si="1"/>
        <v>YES</v>
      </c>
      <c r="K17" s="23">
        <v>26</v>
      </c>
      <c r="L17" s="23">
        <v>1</v>
      </c>
      <c r="M17" s="23">
        <f>MonthlyPayroll[[#This Row],[Total 
Days]]-MonthlyPayroll[[#This Row],[Loss of Pay days]]</f>
        <v>25</v>
      </c>
      <c r="N17" s="25">
        <f t="shared" si="9"/>
        <v>15000</v>
      </c>
      <c r="O17" s="25">
        <f t="shared" si="10"/>
        <v>0</v>
      </c>
      <c r="P17" s="25">
        <f t="shared" si="11"/>
        <v>0</v>
      </c>
      <c r="Q17" s="83">
        <f t="shared" si="2"/>
        <v>0</v>
      </c>
      <c r="R17" s="26">
        <f>IF($G17="","",$G17+MonthlyPayroll[[#This Row],[Attendance 
Bonus]])</f>
        <v>15000</v>
      </c>
      <c r="S17" s="27">
        <v>0</v>
      </c>
      <c r="T17" s="27">
        <f t="shared" si="12"/>
        <v>0</v>
      </c>
      <c r="U17" s="27">
        <f>IF(MonthlyPayroll[[#This Row],[Actual 
Gross]]&gt;21000,0,(MonthlyPayroll[[#This Row],[Basic]]+MonthlyPayroll[[#This Row],[HRA]]+MonthlyPayroll[[#This Row],[Other allowance]]))</f>
        <v>15000</v>
      </c>
      <c r="V17" s="27">
        <f t="shared" si="13"/>
        <v>113</v>
      </c>
      <c r="W17" s="28">
        <f t="shared" si="3"/>
        <v>0</v>
      </c>
      <c r="X17" s="27">
        <f>MonthlyPayroll[[#This Row],[Employee PF]]+MonthlyPayroll[[#This Row],[Employee ESIC]]+MonthlyPayroll[[#This Row],[PT]]</f>
        <v>113</v>
      </c>
      <c r="Y17" s="26">
        <f t="shared" si="4"/>
        <v>14887</v>
      </c>
      <c r="Z17" s="29">
        <f t="shared" si="5"/>
        <v>0</v>
      </c>
      <c r="AA17" s="29">
        <f t="shared" si="14"/>
        <v>488</v>
      </c>
      <c r="AB17" s="26">
        <f t="shared" si="6"/>
        <v>15488</v>
      </c>
      <c r="AC17" s="26">
        <f t="shared" si="7"/>
        <v>185856</v>
      </c>
      <c r="AD17" t="str">
        <f t="shared" si="8"/>
        <v/>
      </c>
    </row>
    <row r="18" spans="1:30" x14ac:dyDescent="0.3">
      <c r="A18" s="23">
        <v>17</v>
      </c>
      <c r="B18" s="17" t="s">
        <v>93</v>
      </c>
      <c r="C18" s="17" t="s">
        <v>94</v>
      </c>
      <c r="D18" s="18" t="s">
        <v>88</v>
      </c>
      <c r="E18" s="19" t="s">
        <v>89</v>
      </c>
      <c r="F18" s="20">
        <v>15662</v>
      </c>
      <c r="G18" s="21">
        <v>100000</v>
      </c>
      <c r="H18" s="24" t="s">
        <v>56</v>
      </c>
      <c r="I18" s="23" t="str">
        <f t="shared" si="0"/>
        <v>YES</v>
      </c>
      <c r="J18" s="23" t="str">
        <f t="shared" si="1"/>
        <v>NO</v>
      </c>
      <c r="K18" s="23">
        <v>26</v>
      </c>
      <c r="L18" s="23">
        <v>1</v>
      </c>
      <c r="M18" s="23">
        <f>MonthlyPayroll[[#This Row],[Total 
Days]]-MonthlyPayroll[[#This Row],[Loss of Pay days]]</f>
        <v>25</v>
      </c>
      <c r="N18" s="25">
        <f t="shared" si="9"/>
        <v>50000</v>
      </c>
      <c r="O18" s="25">
        <f t="shared" si="10"/>
        <v>20000</v>
      </c>
      <c r="P18" s="25">
        <f t="shared" si="11"/>
        <v>30000</v>
      </c>
      <c r="Q18" s="83">
        <f t="shared" si="2"/>
        <v>0</v>
      </c>
      <c r="R18" s="26">
        <f>IF($G18="","",$G18+MonthlyPayroll[[#This Row],[Attendance 
Bonus]])</f>
        <v>100000</v>
      </c>
      <c r="S18" s="27">
        <f>IF(MonthlyPayroll[[#This Row],[Basic]]&gt;15000, 15000,MonthlyPayroll[[#This Row],[Basic]])</f>
        <v>15000</v>
      </c>
      <c r="T18" s="27">
        <f t="shared" si="12"/>
        <v>3750</v>
      </c>
      <c r="U18" s="27">
        <f>IF(MonthlyPayroll[[#This Row],[Actual 
Gross]]&gt;21000,0,(MonthlyPayroll[[#This Row],[Basic]]+MonthlyPayroll[[#This Row],[HRA]]+MonthlyPayroll[[#This Row],[Other allowance]]))</f>
        <v>0</v>
      </c>
      <c r="V18" s="27">
        <f t="shared" si="13"/>
        <v>0</v>
      </c>
      <c r="W18" s="28">
        <f t="shared" si="3"/>
        <v>200</v>
      </c>
      <c r="X18" s="27">
        <f>MonthlyPayroll[[#This Row],[Employee PF]]+MonthlyPayroll[[#This Row],[Employee ESIC]]+MonthlyPayroll[[#This Row],[PT]]</f>
        <v>3950</v>
      </c>
      <c r="Y18" s="26">
        <f t="shared" si="4"/>
        <v>96050</v>
      </c>
      <c r="Z18" s="29">
        <f t="shared" si="5"/>
        <v>0</v>
      </c>
      <c r="AA18" s="29">
        <f t="shared" si="14"/>
        <v>0</v>
      </c>
      <c r="AB18" s="26">
        <f t="shared" si="6"/>
        <v>100000</v>
      </c>
      <c r="AC18" s="26">
        <f t="shared" si="7"/>
        <v>1200000</v>
      </c>
      <c r="AD18" t="str">
        <f t="shared" si="8"/>
        <v/>
      </c>
    </row>
    <row r="19" spans="1:30" x14ac:dyDescent="0.3">
      <c r="A19" s="23">
        <v>18</v>
      </c>
      <c r="B19" s="17" t="s">
        <v>95</v>
      </c>
      <c r="C19" s="17" t="s">
        <v>96</v>
      </c>
      <c r="D19" s="18" t="s">
        <v>88</v>
      </c>
      <c r="E19" s="19" t="s">
        <v>89</v>
      </c>
      <c r="F19" s="20">
        <v>15662</v>
      </c>
      <c r="G19" s="21">
        <v>88082</v>
      </c>
      <c r="H19" s="24" t="s">
        <v>56</v>
      </c>
      <c r="I19" s="23" t="str">
        <f t="shared" si="0"/>
        <v>YES</v>
      </c>
      <c r="J19" s="23" t="str">
        <f t="shared" si="1"/>
        <v>NO</v>
      </c>
      <c r="K19" s="23">
        <v>26</v>
      </c>
      <c r="L19" s="23">
        <v>1</v>
      </c>
      <c r="M19" s="23">
        <f>MonthlyPayroll[[#This Row],[Total 
Days]]-MonthlyPayroll[[#This Row],[Loss of Pay days]]</f>
        <v>25</v>
      </c>
      <c r="N19" s="25">
        <f t="shared" si="9"/>
        <v>44041</v>
      </c>
      <c r="O19" s="25">
        <f t="shared" si="10"/>
        <v>17616.400000000001</v>
      </c>
      <c r="P19" s="25">
        <f t="shared" si="11"/>
        <v>26424.6</v>
      </c>
      <c r="Q19" s="83">
        <f t="shared" si="2"/>
        <v>0</v>
      </c>
      <c r="R19" s="26">
        <f>IF($G19="","",$G19+MonthlyPayroll[[#This Row],[Attendance 
Bonus]])</f>
        <v>88082</v>
      </c>
      <c r="S19" s="27">
        <f>IF(MonthlyPayroll[[#This Row],[Basic]]&gt;15000, 15000,MonthlyPayroll[[#This Row],[Basic]])</f>
        <v>15000</v>
      </c>
      <c r="T19" s="27">
        <f t="shared" si="12"/>
        <v>3750</v>
      </c>
      <c r="U19" s="27">
        <f>IF(MonthlyPayroll[[#This Row],[Actual 
Gross]]&gt;21000,0,(MonthlyPayroll[[#This Row],[Basic]]+MonthlyPayroll[[#This Row],[HRA]]+MonthlyPayroll[[#This Row],[Other allowance]]))</f>
        <v>0</v>
      </c>
      <c r="V19" s="27">
        <f t="shared" si="13"/>
        <v>0</v>
      </c>
      <c r="W19" s="28">
        <f t="shared" si="3"/>
        <v>200</v>
      </c>
      <c r="X19" s="27">
        <f>MonthlyPayroll[[#This Row],[Employee PF]]+MonthlyPayroll[[#This Row],[Employee ESIC]]+MonthlyPayroll[[#This Row],[PT]]</f>
        <v>3950</v>
      </c>
      <c r="Y19" s="26">
        <f t="shared" si="4"/>
        <v>84132</v>
      </c>
      <c r="Z19" s="29">
        <f t="shared" si="5"/>
        <v>0</v>
      </c>
      <c r="AA19" s="29">
        <f t="shared" si="14"/>
        <v>0</v>
      </c>
      <c r="AB19" s="26">
        <f t="shared" si="6"/>
        <v>88082</v>
      </c>
      <c r="AC19" s="26">
        <f t="shared" si="7"/>
        <v>1056984</v>
      </c>
      <c r="AD19" t="str">
        <f t="shared" si="8"/>
        <v/>
      </c>
    </row>
    <row r="20" spans="1:30" x14ac:dyDescent="0.3">
      <c r="A20" s="23">
        <v>19</v>
      </c>
      <c r="B20" s="17" t="s">
        <v>97</v>
      </c>
      <c r="C20" s="17" t="s">
        <v>98</v>
      </c>
      <c r="D20" s="18" t="s">
        <v>88</v>
      </c>
      <c r="E20" s="19" t="s">
        <v>89</v>
      </c>
      <c r="F20" s="20">
        <v>15662</v>
      </c>
      <c r="G20" s="21">
        <v>76217</v>
      </c>
      <c r="H20" s="24" t="s">
        <v>56</v>
      </c>
      <c r="I20" s="23" t="str">
        <f t="shared" si="0"/>
        <v>YES</v>
      </c>
      <c r="J20" s="23" t="str">
        <f t="shared" si="1"/>
        <v>NO</v>
      </c>
      <c r="K20" s="23">
        <v>26</v>
      </c>
      <c r="L20" s="23">
        <v>1</v>
      </c>
      <c r="M20" s="23">
        <f>MonthlyPayroll[[#This Row],[Total 
Days]]-MonthlyPayroll[[#This Row],[Loss of Pay days]]</f>
        <v>25</v>
      </c>
      <c r="N20" s="25">
        <f t="shared" si="9"/>
        <v>38108.5</v>
      </c>
      <c r="O20" s="25">
        <f t="shared" si="10"/>
        <v>15243.400000000001</v>
      </c>
      <c r="P20" s="25">
        <f t="shared" si="11"/>
        <v>22865.1</v>
      </c>
      <c r="Q20" s="83">
        <f t="shared" si="2"/>
        <v>0</v>
      </c>
      <c r="R20" s="26">
        <f>IF($G20="","",$G20+MonthlyPayroll[[#This Row],[Attendance 
Bonus]])</f>
        <v>76217</v>
      </c>
      <c r="S20" s="27">
        <f>IF(MonthlyPayroll[[#This Row],[Basic]]&gt;15000, 15000,MonthlyPayroll[[#This Row],[Basic]])</f>
        <v>15000</v>
      </c>
      <c r="T20" s="27">
        <f t="shared" si="12"/>
        <v>3750</v>
      </c>
      <c r="U20" s="27">
        <f>IF(MonthlyPayroll[[#This Row],[Actual 
Gross]]&gt;21000,0,(MonthlyPayroll[[#This Row],[Basic]]+MonthlyPayroll[[#This Row],[HRA]]+MonthlyPayroll[[#This Row],[Other allowance]]))</f>
        <v>0</v>
      </c>
      <c r="V20" s="27">
        <f t="shared" si="13"/>
        <v>0</v>
      </c>
      <c r="W20" s="28">
        <f t="shared" si="3"/>
        <v>200</v>
      </c>
      <c r="X20" s="27">
        <f>MonthlyPayroll[[#This Row],[Employee PF]]+MonthlyPayroll[[#This Row],[Employee ESIC]]+MonthlyPayroll[[#This Row],[PT]]</f>
        <v>3950</v>
      </c>
      <c r="Y20" s="26">
        <f t="shared" si="4"/>
        <v>72267</v>
      </c>
      <c r="Z20" s="29">
        <f t="shared" si="5"/>
        <v>0</v>
      </c>
      <c r="AA20" s="29">
        <f t="shared" si="14"/>
        <v>0</v>
      </c>
      <c r="AB20" s="26">
        <f t="shared" si="6"/>
        <v>76217</v>
      </c>
      <c r="AC20" s="26">
        <f t="shared" si="7"/>
        <v>914604</v>
      </c>
      <c r="AD20" t="str">
        <f t="shared" si="8"/>
        <v/>
      </c>
    </row>
    <row r="21" spans="1:30" x14ac:dyDescent="0.3">
      <c r="A21" s="23">
        <v>20</v>
      </c>
      <c r="B21" s="17" t="s">
        <v>99</v>
      </c>
      <c r="C21" s="17" t="s">
        <v>100</v>
      </c>
      <c r="D21" s="18" t="s">
        <v>88</v>
      </c>
      <c r="E21" s="19" t="s">
        <v>89</v>
      </c>
      <c r="F21" s="20">
        <v>15662</v>
      </c>
      <c r="G21" s="21">
        <v>42010</v>
      </c>
      <c r="H21" s="24" t="s">
        <v>56</v>
      </c>
      <c r="I21" s="23" t="str">
        <f t="shared" si="0"/>
        <v>YES</v>
      </c>
      <c r="J21" s="23" t="str">
        <f t="shared" si="1"/>
        <v>NO</v>
      </c>
      <c r="K21" s="23">
        <v>26</v>
      </c>
      <c r="L21" s="23">
        <v>1</v>
      </c>
      <c r="M21" s="23">
        <f>MonthlyPayroll[[#This Row],[Total 
Days]]-MonthlyPayroll[[#This Row],[Loss of Pay days]]</f>
        <v>25</v>
      </c>
      <c r="N21" s="25">
        <f t="shared" si="9"/>
        <v>21005</v>
      </c>
      <c r="O21" s="25">
        <f t="shared" si="10"/>
        <v>8402</v>
      </c>
      <c r="P21" s="25">
        <f t="shared" si="11"/>
        <v>12603</v>
      </c>
      <c r="Q21" s="83">
        <f t="shared" si="2"/>
        <v>0</v>
      </c>
      <c r="R21" s="26">
        <f>IF($G21="","",$G21+MonthlyPayroll[[#This Row],[Attendance 
Bonus]])</f>
        <v>42010</v>
      </c>
      <c r="S21" s="27">
        <f>IF(MonthlyPayroll[[#This Row],[Basic]]&gt;15000, 15000,MonthlyPayroll[[#This Row],[Basic]])</f>
        <v>15000</v>
      </c>
      <c r="T21" s="27">
        <f t="shared" si="12"/>
        <v>3750</v>
      </c>
      <c r="U21" s="27">
        <f>IF(MonthlyPayroll[[#This Row],[Actual 
Gross]]&gt;21000,0,(MonthlyPayroll[[#This Row],[Basic]]+MonthlyPayroll[[#This Row],[HRA]]+MonthlyPayroll[[#This Row],[Other allowance]]))</f>
        <v>0</v>
      </c>
      <c r="V21" s="27">
        <f t="shared" si="13"/>
        <v>0</v>
      </c>
      <c r="W21" s="28">
        <f t="shared" si="3"/>
        <v>200</v>
      </c>
      <c r="X21" s="27">
        <f>MonthlyPayroll[[#This Row],[Employee PF]]+MonthlyPayroll[[#This Row],[Employee ESIC]]+MonthlyPayroll[[#This Row],[PT]]</f>
        <v>3950</v>
      </c>
      <c r="Y21" s="26">
        <f t="shared" si="4"/>
        <v>38060</v>
      </c>
      <c r="Z21" s="29">
        <f t="shared" si="5"/>
        <v>0</v>
      </c>
      <c r="AA21" s="29">
        <f t="shared" si="14"/>
        <v>0</v>
      </c>
      <c r="AB21" s="26">
        <f t="shared" si="6"/>
        <v>42010</v>
      </c>
      <c r="AC21" s="26">
        <f t="shared" si="7"/>
        <v>504120</v>
      </c>
      <c r="AD21" t="str">
        <f t="shared" si="8"/>
        <v/>
      </c>
    </row>
    <row r="22" spans="1:30" x14ac:dyDescent="0.3">
      <c r="A22" s="23">
        <v>21</v>
      </c>
      <c r="B22" s="30" t="s">
        <v>101</v>
      </c>
      <c r="C22" s="17" t="s">
        <v>75</v>
      </c>
      <c r="D22" s="30" t="s">
        <v>102</v>
      </c>
      <c r="E22" s="31" t="s">
        <v>77</v>
      </c>
      <c r="F22" s="24">
        <v>13417</v>
      </c>
      <c r="G22" s="32">
        <v>15000</v>
      </c>
      <c r="H22" s="24" t="s">
        <v>103</v>
      </c>
      <c r="I22" s="23" t="s">
        <v>73</v>
      </c>
      <c r="J22" s="23" t="str">
        <f t="shared" si="1"/>
        <v>YES</v>
      </c>
      <c r="K22" s="23">
        <v>26</v>
      </c>
      <c r="L22" s="23">
        <v>1</v>
      </c>
      <c r="M22" s="23">
        <f>MonthlyPayroll[[#This Row],[Total 
Days]]-MonthlyPayroll[[#This Row],[Loss of Pay days]]</f>
        <v>25</v>
      </c>
      <c r="N22" s="25">
        <f t="shared" si="9"/>
        <v>15000</v>
      </c>
      <c r="O22" s="25">
        <f t="shared" si="10"/>
        <v>0</v>
      </c>
      <c r="P22" s="25">
        <f t="shared" si="11"/>
        <v>0</v>
      </c>
      <c r="Q22" s="83">
        <f t="shared" si="2"/>
        <v>0</v>
      </c>
      <c r="R22" s="26">
        <f>IF($G22="","",$G22+MonthlyPayroll[[#This Row],[Attendance 
Bonus]])</f>
        <v>15000</v>
      </c>
      <c r="S22" s="27">
        <v>0</v>
      </c>
      <c r="T22" s="27">
        <f t="shared" si="12"/>
        <v>0</v>
      </c>
      <c r="U22" s="27">
        <f>IF(MonthlyPayroll[[#This Row],[Actual 
Gross]]&gt;21000,0,(MonthlyPayroll[[#This Row],[Basic]]+MonthlyPayroll[[#This Row],[HRA]]+MonthlyPayroll[[#This Row],[Other allowance]]))</f>
        <v>15000</v>
      </c>
      <c r="V22" s="27">
        <f t="shared" si="13"/>
        <v>113</v>
      </c>
      <c r="W22" s="28">
        <f t="shared" si="3"/>
        <v>0</v>
      </c>
      <c r="X22" s="27">
        <f>MonthlyPayroll[[#This Row],[Employee PF]]+MonthlyPayroll[[#This Row],[Employee ESIC]]+MonthlyPayroll[[#This Row],[PT]]</f>
        <v>113</v>
      </c>
      <c r="Y22" s="26">
        <f t="shared" si="4"/>
        <v>14887</v>
      </c>
      <c r="Z22" s="29">
        <f t="shared" si="5"/>
        <v>0</v>
      </c>
      <c r="AA22" s="29">
        <f t="shared" si="14"/>
        <v>488</v>
      </c>
      <c r="AB22" s="26">
        <f t="shared" si="6"/>
        <v>15488</v>
      </c>
      <c r="AC22" s="26">
        <f t="shared" si="7"/>
        <v>185856</v>
      </c>
      <c r="AD22" t="str">
        <f t="shared" si="8"/>
        <v/>
      </c>
    </row>
    <row r="23" spans="1:30" x14ac:dyDescent="0.3">
      <c r="A23" s="23">
        <v>22</v>
      </c>
      <c r="B23" s="30" t="s">
        <v>104</v>
      </c>
      <c r="C23" s="17" t="s">
        <v>67</v>
      </c>
      <c r="D23" s="18" t="s">
        <v>62</v>
      </c>
      <c r="E23" s="31" t="s">
        <v>63</v>
      </c>
      <c r="F23" s="20">
        <v>12720</v>
      </c>
      <c r="G23" s="22">
        <v>12720</v>
      </c>
      <c r="H23" s="24" t="s">
        <v>56</v>
      </c>
      <c r="I23" s="23" t="str">
        <f t="shared" si="0"/>
        <v>YES</v>
      </c>
      <c r="J23" s="23" t="str">
        <f t="shared" si="1"/>
        <v>YES</v>
      </c>
      <c r="K23" s="23">
        <v>26</v>
      </c>
      <c r="L23" s="23">
        <v>1</v>
      </c>
      <c r="M23" s="23">
        <f>MonthlyPayroll[[#This Row],[Total 
Days]]-MonthlyPayroll[[#This Row],[Loss of Pay days]]</f>
        <v>25</v>
      </c>
      <c r="N23" s="25">
        <f t="shared" si="9"/>
        <v>12720</v>
      </c>
      <c r="O23" s="25">
        <f t="shared" si="10"/>
        <v>0</v>
      </c>
      <c r="P23" s="25">
        <f t="shared" si="11"/>
        <v>0</v>
      </c>
      <c r="Q23" s="83">
        <f t="shared" si="2"/>
        <v>0</v>
      </c>
      <c r="R23" s="26">
        <f>IF($G23="","",$G23+MonthlyPayroll[[#This Row],[Attendance 
Bonus]])</f>
        <v>12720</v>
      </c>
      <c r="S23" s="27">
        <f>IF(MonthlyPayroll[[#This Row],[Basic]]&gt;15000, 15000,MonthlyPayroll[[#This Row],[Basic]])</f>
        <v>12720</v>
      </c>
      <c r="T23" s="27">
        <f t="shared" si="12"/>
        <v>1527</v>
      </c>
      <c r="U23" s="27">
        <f>IF(MonthlyPayroll[[#This Row],[Actual 
Gross]]&gt;21000,0,(MonthlyPayroll[[#This Row],[Basic]]+MonthlyPayroll[[#This Row],[HRA]]+MonthlyPayroll[[#This Row],[Other allowance]]))</f>
        <v>12720</v>
      </c>
      <c r="V23" s="27">
        <f t="shared" si="13"/>
        <v>96</v>
      </c>
      <c r="W23" s="28">
        <f t="shared" si="3"/>
        <v>0</v>
      </c>
      <c r="X23" s="27">
        <f>MonthlyPayroll[[#This Row],[Employee PF]]+MonthlyPayroll[[#This Row],[Employee ESIC]]+MonthlyPayroll[[#This Row],[PT]]</f>
        <v>1623</v>
      </c>
      <c r="Y23" s="26">
        <f t="shared" si="4"/>
        <v>11097</v>
      </c>
      <c r="Z23" s="29">
        <f t="shared" si="5"/>
        <v>1654</v>
      </c>
      <c r="AA23" s="29">
        <f t="shared" si="14"/>
        <v>414</v>
      </c>
      <c r="AB23" s="26">
        <f t="shared" si="6"/>
        <v>14788</v>
      </c>
      <c r="AC23" s="26">
        <f t="shared" si="7"/>
        <v>177456</v>
      </c>
      <c r="AD23" t="str">
        <f t="shared" si="8"/>
        <v/>
      </c>
    </row>
    <row r="24" spans="1:30" x14ac:dyDescent="0.3">
      <c r="A24" s="23">
        <v>23</v>
      </c>
      <c r="B24" s="30" t="s">
        <v>105</v>
      </c>
      <c r="C24" s="17" t="s">
        <v>67</v>
      </c>
      <c r="D24" s="18" t="s">
        <v>62</v>
      </c>
      <c r="E24" s="31" t="s">
        <v>63</v>
      </c>
      <c r="F24" s="20">
        <v>12720</v>
      </c>
      <c r="G24" s="22">
        <v>12720</v>
      </c>
      <c r="H24" s="24" t="s">
        <v>106</v>
      </c>
      <c r="I24" s="23" t="str">
        <f t="shared" si="0"/>
        <v>YES</v>
      </c>
      <c r="J24" s="23" t="str">
        <f t="shared" si="1"/>
        <v>YES</v>
      </c>
      <c r="K24" s="23">
        <v>26</v>
      </c>
      <c r="L24" s="23">
        <v>1</v>
      </c>
      <c r="M24" s="23">
        <f>MonthlyPayroll[[#This Row],[Total 
Days]]-MonthlyPayroll[[#This Row],[Loss of Pay days]]</f>
        <v>25</v>
      </c>
      <c r="N24" s="25">
        <f t="shared" si="9"/>
        <v>12720</v>
      </c>
      <c r="O24" s="25">
        <f t="shared" si="10"/>
        <v>0</v>
      </c>
      <c r="P24" s="25">
        <f t="shared" si="11"/>
        <v>0</v>
      </c>
      <c r="Q24" s="83">
        <f t="shared" si="2"/>
        <v>0</v>
      </c>
      <c r="R24" s="26">
        <f>IF($G24="","",$G24+MonthlyPayroll[[#This Row],[Attendance 
Bonus]])</f>
        <v>12720</v>
      </c>
      <c r="S24" s="27">
        <f>IF(MonthlyPayroll[[#This Row],[Basic]]&gt;15000, 15000,MonthlyPayroll[[#This Row],[Basic]])</f>
        <v>12720</v>
      </c>
      <c r="T24" s="27">
        <f t="shared" si="12"/>
        <v>1527</v>
      </c>
      <c r="U24" s="27">
        <f>IF(MonthlyPayroll[[#This Row],[Actual 
Gross]]&gt;21000,0,(MonthlyPayroll[[#This Row],[Basic]]+MonthlyPayroll[[#This Row],[HRA]]+MonthlyPayroll[[#This Row],[Other allowance]]))</f>
        <v>12720</v>
      </c>
      <c r="V24" s="27">
        <f t="shared" si="13"/>
        <v>96</v>
      </c>
      <c r="W24" s="28">
        <f t="shared" si="3"/>
        <v>0</v>
      </c>
      <c r="X24" s="27">
        <f>MonthlyPayroll[[#This Row],[Employee PF]]+MonthlyPayroll[[#This Row],[Employee ESIC]]+MonthlyPayroll[[#This Row],[PT]]</f>
        <v>1623</v>
      </c>
      <c r="Y24" s="26">
        <f t="shared" si="4"/>
        <v>11097</v>
      </c>
      <c r="Z24" s="29">
        <f t="shared" si="5"/>
        <v>1654</v>
      </c>
      <c r="AA24" s="29">
        <f t="shared" si="14"/>
        <v>414</v>
      </c>
      <c r="AB24" s="26">
        <f t="shared" si="6"/>
        <v>14788</v>
      </c>
      <c r="AC24" s="26">
        <f t="shared" si="7"/>
        <v>177456</v>
      </c>
      <c r="AD24" t="str">
        <f t="shared" si="8"/>
        <v/>
      </c>
    </row>
    <row r="25" spans="1:30" x14ac:dyDescent="0.3">
      <c r="A25" s="23">
        <v>24</v>
      </c>
      <c r="B25" s="30"/>
      <c r="C25" s="30"/>
      <c r="D25" s="30"/>
      <c r="E25" s="24"/>
      <c r="F25" s="24"/>
      <c r="G25" s="33">
        <f>SUBTOTAL(109,G2:G24)</f>
        <v>623069</v>
      </c>
      <c r="H25" s="24"/>
      <c r="I25" s="23" t="str">
        <f t="shared" si="0"/>
        <v/>
      </c>
      <c r="J25" s="23" t="str">
        <f t="shared" si="1"/>
        <v>NO</v>
      </c>
      <c r="K25" s="23"/>
      <c r="L25" s="23"/>
      <c r="M25" s="23"/>
      <c r="N25" s="25">
        <f t="shared" si="9"/>
        <v>311534.5</v>
      </c>
      <c r="O25" s="25"/>
      <c r="P25" s="25"/>
      <c r="Q25" s="83"/>
      <c r="R25" s="26">
        <f>SUBTOTAL(109,R2:R24)</f>
        <v>623069</v>
      </c>
      <c r="S25" s="27"/>
      <c r="T25" s="27"/>
      <c r="U25" s="27"/>
      <c r="V25" s="27"/>
      <c r="W25" s="28"/>
      <c r="X25" s="27">
        <f>SUBTOTAL(109,X2:X24)</f>
        <v>45524</v>
      </c>
      <c r="Y25" s="26">
        <f>SUBTOTAL(109,Y2:Y24)</f>
        <v>577545</v>
      </c>
      <c r="Z25" s="29"/>
      <c r="AA25" s="29"/>
      <c r="AB25" s="26">
        <f>SUBTOTAL(109,AB2:AB24)</f>
        <v>656678</v>
      </c>
      <c r="AC25" s="26">
        <f>SUBTOTAL(109,AC2:AC24)</f>
        <v>7880136</v>
      </c>
    </row>
    <row r="26" spans="1:30" x14ac:dyDescent="0.3">
      <c r="A26" s="23">
        <v>25</v>
      </c>
      <c r="B26" s="30"/>
      <c r="C26" s="30"/>
      <c r="D26" s="30"/>
      <c r="E26" s="24"/>
      <c r="F26" s="24" t="s">
        <v>107</v>
      </c>
      <c r="G26" s="34"/>
      <c r="H26" s="24"/>
      <c r="I26" s="23" t="str">
        <f t="shared" si="0"/>
        <v/>
      </c>
      <c r="J26" s="23" t="str">
        <f t="shared" si="1"/>
        <v/>
      </c>
      <c r="K26" s="23"/>
      <c r="L26" s="23"/>
      <c r="M26" s="23"/>
      <c r="N26" s="29"/>
      <c r="O26" s="29"/>
      <c r="P26" s="29"/>
      <c r="Q26" s="29"/>
      <c r="R26" s="29"/>
      <c r="S26" s="29"/>
      <c r="T26" s="29"/>
      <c r="U26" s="29"/>
      <c r="V26" s="29"/>
      <c r="W26" s="34"/>
      <c r="X26" s="29"/>
      <c r="Y26" s="29"/>
      <c r="Z26" s="29"/>
      <c r="AA26" s="29"/>
      <c r="AB26" s="29"/>
      <c r="AC26" s="29"/>
      <c r="AD26" t="str">
        <f t="shared" ref="AD26:AD65" si="15">IF(G26="","",IF(G26&lt;F26,"⚠ Gross &lt; Minimum Wage",""))</f>
        <v/>
      </c>
    </row>
    <row r="27" spans="1:30" x14ac:dyDescent="0.3">
      <c r="A27" s="23">
        <v>26</v>
      </c>
      <c r="B27" s="30"/>
      <c r="C27" s="30"/>
      <c r="D27" s="30"/>
      <c r="E27" s="24"/>
      <c r="F27" s="24"/>
      <c r="G27" s="34"/>
      <c r="H27" s="24"/>
      <c r="I27" s="23" t="str">
        <f t="shared" si="0"/>
        <v/>
      </c>
      <c r="J27" s="23" t="str">
        <f t="shared" si="1"/>
        <v/>
      </c>
      <c r="K27" s="23"/>
      <c r="L27" s="23"/>
      <c r="M27" s="23"/>
      <c r="N27" s="29"/>
      <c r="O27" s="29"/>
      <c r="P27" s="29"/>
      <c r="Q27" s="29"/>
      <c r="R27" s="29"/>
      <c r="S27" s="29"/>
      <c r="T27" s="29"/>
      <c r="U27" s="29"/>
      <c r="V27" s="29"/>
      <c r="W27" s="34"/>
      <c r="X27" s="29"/>
      <c r="Y27" s="29"/>
      <c r="Z27" s="29"/>
      <c r="AA27" s="29"/>
      <c r="AB27" s="29"/>
      <c r="AC27" s="29"/>
      <c r="AD27" t="str">
        <f t="shared" si="15"/>
        <v/>
      </c>
    </row>
    <row r="28" spans="1:30" x14ac:dyDescent="0.3">
      <c r="A28" s="23">
        <v>27</v>
      </c>
      <c r="B28" s="30"/>
      <c r="C28" s="30"/>
      <c r="D28" s="30"/>
      <c r="E28" s="24"/>
      <c r="F28" s="24"/>
      <c r="G28" s="34"/>
      <c r="H28" s="24"/>
      <c r="I28" s="23" t="str">
        <f t="shared" si="0"/>
        <v/>
      </c>
      <c r="J28" s="23" t="str">
        <f t="shared" si="1"/>
        <v/>
      </c>
      <c r="K28" s="23"/>
      <c r="L28" s="23"/>
      <c r="M28" s="23"/>
      <c r="N28" s="29"/>
      <c r="O28" s="29"/>
      <c r="P28" s="29"/>
      <c r="Q28" s="29"/>
      <c r="R28" s="29"/>
      <c r="S28" s="29"/>
      <c r="T28" s="29"/>
      <c r="U28" s="29"/>
      <c r="V28" s="29"/>
      <c r="W28" s="34"/>
      <c r="X28" s="29"/>
      <c r="Y28" s="29"/>
      <c r="Z28" s="29"/>
      <c r="AA28" s="29"/>
      <c r="AB28" s="29"/>
      <c r="AC28" s="29"/>
      <c r="AD28" t="str">
        <f t="shared" si="15"/>
        <v/>
      </c>
    </row>
    <row r="29" spans="1:30" x14ac:dyDescent="0.3">
      <c r="A29" s="23">
        <v>28</v>
      </c>
      <c r="B29" s="30"/>
      <c r="C29" s="30"/>
      <c r="D29" s="30"/>
      <c r="E29" s="24"/>
      <c r="F29" s="24"/>
      <c r="G29" s="34"/>
      <c r="H29" s="24"/>
      <c r="I29" s="23" t="str">
        <f t="shared" si="0"/>
        <v/>
      </c>
      <c r="J29" s="23" t="str">
        <f t="shared" si="1"/>
        <v/>
      </c>
      <c r="K29" s="23"/>
      <c r="L29" s="23"/>
      <c r="M29" s="23"/>
      <c r="N29" s="29"/>
      <c r="O29" s="29"/>
      <c r="P29" s="29"/>
      <c r="Q29" s="29"/>
      <c r="R29" s="29"/>
      <c r="S29" s="29"/>
      <c r="T29" s="29"/>
      <c r="U29" s="29"/>
      <c r="V29" s="29"/>
      <c r="W29" s="34"/>
      <c r="X29" s="29"/>
      <c r="Y29" s="29"/>
      <c r="Z29" s="29"/>
      <c r="AA29" s="29"/>
      <c r="AB29" s="29"/>
      <c r="AC29" s="29"/>
      <c r="AD29" t="str">
        <f t="shared" si="15"/>
        <v/>
      </c>
    </row>
    <row r="30" spans="1:30" x14ac:dyDescent="0.3">
      <c r="A30" s="23">
        <v>29</v>
      </c>
      <c r="B30" s="30"/>
      <c r="C30" s="30"/>
      <c r="D30" s="30"/>
      <c r="E30" s="24"/>
      <c r="F30" s="24"/>
      <c r="G30" s="34"/>
      <c r="H30" s="24"/>
      <c r="I30" s="23" t="str">
        <f t="shared" si="0"/>
        <v/>
      </c>
      <c r="J30" s="23" t="str">
        <f t="shared" si="1"/>
        <v/>
      </c>
      <c r="K30" s="23"/>
      <c r="L30" s="23"/>
      <c r="M30" s="23"/>
      <c r="N30" s="29"/>
      <c r="O30" s="29"/>
      <c r="P30" s="29"/>
      <c r="Q30" s="29"/>
      <c r="R30" s="29"/>
      <c r="S30" s="29"/>
      <c r="T30" s="29"/>
      <c r="U30" s="29"/>
      <c r="V30" s="29"/>
      <c r="W30" s="34"/>
      <c r="X30" s="29"/>
      <c r="Y30" s="29"/>
      <c r="Z30" s="29"/>
      <c r="AA30" s="29"/>
      <c r="AB30" s="29"/>
      <c r="AC30" s="29"/>
      <c r="AD30" t="str">
        <f t="shared" si="15"/>
        <v/>
      </c>
    </row>
    <row r="31" spans="1:30" x14ac:dyDescent="0.3">
      <c r="A31" s="23">
        <v>30</v>
      </c>
      <c r="B31" s="30"/>
      <c r="C31" s="30"/>
      <c r="D31" s="30"/>
      <c r="E31" s="24"/>
      <c r="F31" s="24"/>
      <c r="G31" s="34"/>
      <c r="H31" s="24"/>
      <c r="I31" s="23" t="str">
        <f t="shared" si="0"/>
        <v/>
      </c>
      <c r="J31" s="23" t="str">
        <f t="shared" si="1"/>
        <v/>
      </c>
      <c r="K31" s="23"/>
      <c r="L31" s="23"/>
      <c r="M31" s="23"/>
      <c r="N31" s="29"/>
      <c r="O31" s="29"/>
      <c r="P31" s="29"/>
      <c r="Q31" s="29"/>
      <c r="R31" s="29"/>
      <c r="S31" s="29"/>
      <c r="T31" s="29"/>
      <c r="U31" s="29"/>
      <c r="V31" s="29"/>
      <c r="W31" s="34"/>
      <c r="X31" s="29"/>
      <c r="Y31" s="29"/>
      <c r="Z31" s="29"/>
      <c r="AA31" s="29"/>
      <c r="AB31" s="29"/>
      <c r="AC31" s="29"/>
      <c r="AD31" t="str">
        <f t="shared" si="15"/>
        <v/>
      </c>
    </row>
    <row r="32" spans="1:30" x14ac:dyDescent="0.3">
      <c r="A32" s="23">
        <v>31</v>
      </c>
      <c r="B32" s="30"/>
      <c r="C32" s="30"/>
      <c r="D32" s="30"/>
      <c r="E32" s="24"/>
      <c r="F32" s="24"/>
      <c r="G32" s="34"/>
      <c r="H32" s="24"/>
      <c r="I32" s="23" t="str">
        <f t="shared" si="0"/>
        <v/>
      </c>
      <c r="J32" s="23" t="str">
        <f t="shared" si="1"/>
        <v/>
      </c>
      <c r="K32" s="23"/>
      <c r="L32" s="23"/>
      <c r="M32" s="23"/>
      <c r="N32" s="29"/>
      <c r="O32" s="29"/>
      <c r="P32" s="29"/>
      <c r="Q32" s="29"/>
      <c r="R32" s="29"/>
      <c r="S32" s="29"/>
      <c r="T32" s="29"/>
      <c r="U32" s="29"/>
      <c r="V32" s="29"/>
      <c r="W32" s="34"/>
      <c r="X32" s="29"/>
      <c r="Y32" s="29"/>
      <c r="Z32" s="29"/>
      <c r="AA32" s="29"/>
      <c r="AB32" s="29"/>
      <c r="AC32" s="29"/>
      <c r="AD32" t="str">
        <f t="shared" si="15"/>
        <v/>
      </c>
    </row>
    <row r="33" spans="1:30" x14ac:dyDescent="0.3">
      <c r="A33" s="23">
        <v>32</v>
      </c>
      <c r="B33" s="30"/>
      <c r="C33" s="30"/>
      <c r="D33" s="30"/>
      <c r="E33" s="24"/>
      <c r="F33" s="24"/>
      <c r="G33" s="34"/>
      <c r="H33" s="24"/>
      <c r="I33" s="23" t="str">
        <f t="shared" si="0"/>
        <v/>
      </c>
      <c r="J33" s="23" t="str">
        <f t="shared" si="1"/>
        <v/>
      </c>
      <c r="K33" s="23"/>
      <c r="L33" s="23"/>
      <c r="M33" s="23"/>
      <c r="N33" s="29"/>
      <c r="O33" s="29"/>
      <c r="P33" s="29"/>
      <c r="Q33" s="29"/>
      <c r="R33" s="29"/>
      <c r="S33" s="29"/>
      <c r="T33" s="29"/>
      <c r="U33" s="29"/>
      <c r="V33" s="29"/>
      <c r="W33" s="34"/>
      <c r="X33" s="29"/>
      <c r="Y33" s="29"/>
      <c r="Z33" s="29"/>
      <c r="AA33" s="29"/>
      <c r="AB33" s="29"/>
      <c r="AC33" s="29"/>
      <c r="AD33" t="str">
        <f t="shared" si="15"/>
        <v/>
      </c>
    </row>
    <row r="34" spans="1:30" x14ac:dyDescent="0.3">
      <c r="A34" s="23">
        <v>33</v>
      </c>
      <c r="B34" s="30"/>
      <c r="C34" s="30"/>
      <c r="D34" s="30"/>
      <c r="E34" s="24"/>
      <c r="F34" s="24"/>
      <c r="G34" s="34"/>
      <c r="H34" s="24"/>
      <c r="I34" s="23" t="str">
        <f t="shared" si="0"/>
        <v/>
      </c>
      <c r="J34" s="23" t="str">
        <f t="shared" si="1"/>
        <v/>
      </c>
      <c r="K34" s="23"/>
      <c r="L34" s="23"/>
      <c r="M34" s="23"/>
      <c r="N34" s="29"/>
      <c r="O34" s="29"/>
      <c r="P34" s="29"/>
      <c r="Q34" s="29"/>
      <c r="R34" s="29"/>
      <c r="S34" s="29"/>
      <c r="T34" s="29"/>
      <c r="U34" s="29"/>
      <c r="V34" s="29"/>
      <c r="W34" s="34"/>
      <c r="X34" s="29"/>
      <c r="Y34" s="29"/>
      <c r="Z34" s="29"/>
      <c r="AA34" s="29"/>
      <c r="AB34" s="29"/>
      <c r="AC34" s="29"/>
      <c r="AD34" t="str">
        <f t="shared" si="15"/>
        <v/>
      </c>
    </row>
    <row r="35" spans="1:30" x14ac:dyDescent="0.3">
      <c r="A35" s="23">
        <v>34</v>
      </c>
      <c r="B35" s="30"/>
      <c r="C35" s="30"/>
      <c r="D35" s="30"/>
      <c r="E35" s="24"/>
      <c r="F35" s="24"/>
      <c r="G35" s="34"/>
      <c r="H35" s="24"/>
      <c r="I35" s="23" t="str">
        <f t="shared" si="0"/>
        <v/>
      </c>
      <c r="J35" s="23" t="str">
        <f t="shared" si="1"/>
        <v/>
      </c>
      <c r="K35" s="23"/>
      <c r="L35" s="23"/>
      <c r="M35" s="23"/>
      <c r="N35" s="29"/>
      <c r="O35" s="29"/>
      <c r="P35" s="29"/>
      <c r="Q35" s="29"/>
      <c r="R35" s="29"/>
      <c r="S35" s="29"/>
      <c r="T35" s="29"/>
      <c r="U35" s="29"/>
      <c r="V35" s="29"/>
      <c r="W35" s="34"/>
      <c r="X35" s="29"/>
      <c r="Y35" s="29"/>
      <c r="Z35" s="29"/>
      <c r="AA35" s="29"/>
      <c r="AB35" s="29"/>
      <c r="AC35" s="29"/>
      <c r="AD35" t="str">
        <f t="shared" si="15"/>
        <v/>
      </c>
    </row>
    <row r="36" spans="1:30" x14ac:dyDescent="0.3">
      <c r="A36" s="23">
        <v>35</v>
      </c>
      <c r="B36" s="30"/>
      <c r="C36" s="30"/>
      <c r="D36" s="30"/>
      <c r="E36" s="24"/>
      <c r="F36" s="24"/>
      <c r="G36" s="34"/>
      <c r="H36" s="24"/>
      <c r="I36" s="23" t="str">
        <f t="shared" si="0"/>
        <v/>
      </c>
      <c r="J36" s="23" t="str">
        <f t="shared" si="1"/>
        <v/>
      </c>
      <c r="K36" s="23"/>
      <c r="L36" s="23"/>
      <c r="M36" s="23"/>
      <c r="N36" s="29"/>
      <c r="O36" s="29"/>
      <c r="P36" s="29"/>
      <c r="Q36" s="29"/>
      <c r="R36" s="29"/>
      <c r="S36" s="29"/>
      <c r="T36" s="29"/>
      <c r="U36" s="29"/>
      <c r="V36" s="29"/>
      <c r="W36" s="34"/>
      <c r="X36" s="29"/>
      <c r="Y36" s="29"/>
      <c r="Z36" s="29"/>
      <c r="AA36" s="29"/>
      <c r="AB36" s="29"/>
      <c r="AC36" s="29"/>
      <c r="AD36" t="str">
        <f t="shared" si="15"/>
        <v/>
      </c>
    </row>
    <row r="37" spans="1:30" x14ac:dyDescent="0.3">
      <c r="A37" s="23">
        <v>36</v>
      </c>
      <c r="B37" s="30"/>
      <c r="C37" s="30"/>
      <c r="D37" s="30"/>
      <c r="E37" s="24"/>
      <c r="F37" s="24"/>
      <c r="G37" s="34"/>
      <c r="H37" s="24"/>
      <c r="I37" s="23" t="str">
        <f t="shared" si="0"/>
        <v/>
      </c>
      <c r="J37" s="23" t="str">
        <f t="shared" si="1"/>
        <v/>
      </c>
      <c r="K37" s="23"/>
      <c r="L37" s="23"/>
      <c r="M37" s="23"/>
      <c r="N37" s="29"/>
      <c r="O37" s="29"/>
      <c r="P37" s="29"/>
      <c r="Q37" s="29"/>
      <c r="R37" s="29"/>
      <c r="S37" s="29"/>
      <c r="T37" s="29"/>
      <c r="U37" s="29"/>
      <c r="V37" s="29"/>
      <c r="W37" s="34"/>
      <c r="X37" s="29"/>
      <c r="Y37" s="29"/>
      <c r="Z37" s="29"/>
      <c r="AA37" s="29"/>
      <c r="AB37" s="29"/>
      <c r="AC37" s="29"/>
      <c r="AD37" t="str">
        <f t="shared" si="15"/>
        <v/>
      </c>
    </row>
    <row r="38" spans="1:30" x14ac:dyDescent="0.3">
      <c r="A38" s="23">
        <v>37</v>
      </c>
      <c r="B38" s="30"/>
      <c r="C38" s="30"/>
      <c r="D38" s="30"/>
      <c r="E38" s="24"/>
      <c r="F38" s="24"/>
      <c r="G38" s="34"/>
      <c r="H38" s="24"/>
      <c r="I38" s="23" t="str">
        <f t="shared" si="0"/>
        <v/>
      </c>
      <c r="J38" s="23" t="str">
        <f t="shared" si="1"/>
        <v/>
      </c>
      <c r="K38" s="23"/>
      <c r="L38" s="23"/>
      <c r="M38" s="23"/>
      <c r="N38" s="29"/>
      <c r="O38" s="29"/>
      <c r="P38" s="29"/>
      <c r="Q38" s="29"/>
      <c r="R38" s="29"/>
      <c r="S38" s="29"/>
      <c r="T38" s="29"/>
      <c r="U38" s="29"/>
      <c r="V38" s="29"/>
      <c r="W38" s="34"/>
      <c r="X38" s="29"/>
      <c r="Y38" s="29"/>
      <c r="Z38" s="29"/>
      <c r="AA38" s="29"/>
      <c r="AB38" s="29"/>
      <c r="AC38" s="29"/>
      <c r="AD38" t="str">
        <f t="shared" si="15"/>
        <v/>
      </c>
    </row>
    <row r="39" spans="1:30" x14ac:dyDescent="0.3">
      <c r="A39" s="23">
        <v>38</v>
      </c>
      <c r="B39" s="30"/>
      <c r="C39" s="30"/>
      <c r="D39" s="30"/>
      <c r="E39" s="24"/>
      <c r="F39" s="24"/>
      <c r="G39" s="34"/>
      <c r="H39" s="24"/>
      <c r="I39" s="23" t="str">
        <f t="shared" si="0"/>
        <v/>
      </c>
      <c r="J39" s="23" t="str">
        <f t="shared" si="1"/>
        <v/>
      </c>
      <c r="K39" s="23"/>
      <c r="L39" s="23"/>
      <c r="M39" s="23"/>
      <c r="N39" s="29"/>
      <c r="O39" s="29"/>
      <c r="P39" s="29"/>
      <c r="Q39" s="29"/>
      <c r="R39" s="29"/>
      <c r="S39" s="29"/>
      <c r="T39" s="29"/>
      <c r="U39" s="29"/>
      <c r="V39" s="29"/>
      <c r="W39" s="34"/>
      <c r="X39" s="29"/>
      <c r="Y39" s="29"/>
      <c r="Z39" s="29"/>
      <c r="AA39" s="29"/>
      <c r="AB39" s="29"/>
      <c r="AC39" s="29"/>
      <c r="AD39" t="str">
        <f t="shared" si="15"/>
        <v/>
      </c>
    </row>
    <row r="40" spans="1:30" x14ac:dyDescent="0.3">
      <c r="A40" s="23">
        <v>39</v>
      </c>
      <c r="B40" s="30"/>
      <c r="C40" s="30"/>
      <c r="D40" s="30"/>
      <c r="E40" s="24"/>
      <c r="F40" s="24"/>
      <c r="G40" s="34"/>
      <c r="H40" s="24"/>
      <c r="I40" s="23" t="str">
        <f t="shared" si="0"/>
        <v/>
      </c>
      <c r="J40" s="23" t="str">
        <f t="shared" si="1"/>
        <v/>
      </c>
      <c r="K40" s="23"/>
      <c r="L40" s="23"/>
      <c r="M40" s="23"/>
      <c r="N40" s="29"/>
      <c r="O40" s="29"/>
      <c r="P40" s="29"/>
      <c r="Q40" s="29"/>
      <c r="R40" s="29"/>
      <c r="S40" s="29"/>
      <c r="T40" s="29"/>
      <c r="U40" s="29"/>
      <c r="V40" s="29"/>
      <c r="W40" s="34"/>
      <c r="X40" s="29"/>
      <c r="Y40" s="29"/>
      <c r="Z40" s="29"/>
      <c r="AA40" s="29"/>
      <c r="AB40" s="29"/>
      <c r="AC40" s="29"/>
      <c r="AD40" t="str">
        <f t="shared" si="15"/>
        <v/>
      </c>
    </row>
    <row r="41" spans="1:30" x14ac:dyDescent="0.3">
      <c r="A41" s="23">
        <v>40</v>
      </c>
      <c r="B41" s="30"/>
      <c r="C41" s="30"/>
      <c r="D41" s="30"/>
      <c r="E41" s="24"/>
      <c r="F41" s="24"/>
      <c r="G41" s="34"/>
      <c r="H41" s="24"/>
      <c r="I41" s="23" t="str">
        <f t="shared" si="0"/>
        <v/>
      </c>
      <c r="J41" s="23" t="str">
        <f t="shared" si="1"/>
        <v/>
      </c>
      <c r="K41" s="23"/>
      <c r="L41" s="23"/>
      <c r="M41" s="23"/>
      <c r="N41" s="29"/>
      <c r="O41" s="29"/>
      <c r="P41" s="29"/>
      <c r="Q41" s="29"/>
      <c r="R41" s="29"/>
      <c r="S41" s="29"/>
      <c r="T41" s="29"/>
      <c r="U41" s="29"/>
      <c r="V41" s="29"/>
      <c r="W41" s="34"/>
      <c r="X41" s="29"/>
      <c r="Y41" s="29"/>
      <c r="Z41" s="29"/>
      <c r="AA41" s="29"/>
      <c r="AB41" s="29"/>
      <c r="AC41" s="29"/>
      <c r="AD41" t="str">
        <f t="shared" si="15"/>
        <v/>
      </c>
    </row>
    <row r="42" spans="1:30" x14ac:dyDescent="0.3">
      <c r="A42" s="23">
        <v>41</v>
      </c>
      <c r="B42" s="30"/>
      <c r="C42" s="30"/>
      <c r="D42" s="30"/>
      <c r="E42" s="24"/>
      <c r="F42" s="24"/>
      <c r="G42" s="34"/>
      <c r="H42" s="24"/>
      <c r="I42" s="23" t="str">
        <f t="shared" si="0"/>
        <v/>
      </c>
      <c r="J42" s="23" t="str">
        <f t="shared" si="1"/>
        <v/>
      </c>
      <c r="K42" s="23"/>
      <c r="L42" s="23"/>
      <c r="M42" s="23"/>
      <c r="N42" s="29"/>
      <c r="O42" s="29"/>
      <c r="P42" s="29"/>
      <c r="Q42" s="29"/>
      <c r="R42" s="29"/>
      <c r="S42" s="29"/>
      <c r="T42" s="29"/>
      <c r="U42" s="29"/>
      <c r="V42" s="29"/>
      <c r="W42" s="34"/>
      <c r="X42" s="29"/>
      <c r="Y42" s="29"/>
      <c r="Z42" s="29"/>
      <c r="AA42" s="29"/>
      <c r="AB42" s="29"/>
      <c r="AC42" s="29"/>
      <c r="AD42" t="str">
        <f t="shared" si="15"/>
        <v/>
      </c>
    </row>
    <row r="43" spans="1:30" x14ac:dyDescent="0.3">
      <c r="A43" s="23">
        <v>42</v>
      </c>
      <c r="B43" s="30"/>
      <c r="C43" s="30"/>
      <c r="D43" s="30"/>
      <c r="E43" s="24"/>
      <c r="F43" s="24"/>
      <c r="G43" s="34"/>
      <c r="H43" s="24"/>
      <c r="I43" s="23" t="str">
        <f t="shared" si="0"/>
        <v/>
      </c>
      <c r="J43" s="23" t="str">
        <f t="shared" si="1"/>
        <v/>
      </c>
      <c r="K43" s="23"/>
      <c r="L43" s="23"/>
      <c r="M43" s="23"/>
      <c r="N43" s="29"/>
      <c r="O43" s="29"/>
      <c r="P43" s="29"/>
      <c r="Q43" s="29"/>
      <c r="R43" s="29"/>
      <c r="S43" s="29"/>
      <c r="T43" s="29"/>
      <c r="U43" s="29"/>
      <c r="V43" s="29"/>
      <c r="W43" s="34"/>
      <c r="X43" s="29"/>
      <c r="Y43" s="29"/>
      <c r="Z43" s="29"/>
      <c r="AA43" s="29"/>
      <c r="AB43" s="29"/>
      <c r="AC43" s="29"/>
      <c r="AD43" t="str">
        <f t="shared" si="15"/>
        <v/>
      </c>
    </row>
    <row r="44" spans="1:30" x14ac:dyDescent="0.3">
      <c r="A44" s="23">
        <v>43</v>
      </c>
      <c r="B44" s="30"/>
      <c r="C44" s="30"/>
      <c r="D44" s="30"/>
      <c r="E44" s="24"/>
      <c r="F44" s="24"/>
      <c r="G44" s="34"/>
      <c r="H44" s="24"/>
      <c r="I44" s="23" t="str">
        <f t="shared" si="0"/>
        <v/>
      </c>
      <c r="J44" s="23" t="str">
        <f t="shared" si="1"/>
        <v/>
      </c>
      <c r="K44" s="23"/>
      <c r="L44" s="23"/>
      <c r="M44" s="23"/>
      <c r="N44" s="29"/>
      <c r="O44" s="29"/>
      <c r="P44" s="29"/>
      <c r="Q44" s="29"/>
      <c r="R44" s="29"/>
      <c r="S44" s="29"/>
      <c r="T44" s="29"/>
      <c r="U44" s="29"/>
      <c r="V44" s="29"/>
      <c r="W44" s="34"/>
      <c r="X44" s="29"/>
      <c r="Y44" s="29"/>
      <c r="Z44" s="29"/>
      <c r="AA44" s="29"/>
      <c r="AB44" s="29"/>
      <c r="AC44" s="29"/>
      <c r="AD44" t="str">
        <f t="shared" si="15"/>
        <v/>
      </c>
    </row>
    <row r="45" spans="1:30" x14ac:dyDescent="0.3">
      <c r="A45" s="23">
        <v>44</v>
      </c>
      <c r="B45" s="30"/>
      <c r="C45" s="30"/>
      <c r="D45" s="30"/>
      <c r="E45" s="24"/>
      <c r="F45" s="24"/>
      <c r="G45" s="34"/>
      <c r="H45" s="24"/>
      <c r="I45" s="23" t="str">
        <f t="shared" si="0"/>
        <v/>
      </c>
      <c r="J45" s="23" t="str">
        <f t="shared" si="1"/>
        <v/>
      </c>
      <c r="K45" s="23"/>
      <c r="L45" s="23"/>
      <c r="M45" s="23"/>
      <c r="N45" s="29"/>
      <c r="O45" s="29"/>
      <c r="P45" s="29"/>
      <c r="Q45" s="29"/>
      <c r="R45" s="29"/>
      <c r="S45" s="29"/>
      <c r="T45" s="29"/>
      <c r="U45" s="29"/>
      <c r="V45" s="29"/>
      <c r="W45" s="34"/>
      <c r="X45" s="29"/>
      <c r="Y45" s="29"/>
      <c r="Z45" s="29"/>
      <c r="AA45" s="29"/>
      <c r="AB45" s="29"/>
      <c r="AC45" s="29"/>
      <c r="AD45" t="str">
        <f t="shared" si="15"/>
        <v/>
      </c>
    </row>
    <row r="46" spans="1:30" x14ac:dyDescent="0.3">
      <c r="A46" s="23">
        <v>45</v>
      </c>
      <c r="B46" s="30"/>
      <c r="C46" s="30"/>
      <c r="D46" s="30"/>
      <c r="E46" s="24"/>
      <c r="F46" s="24"/>
      <c r="G46" s="34"/>
      <c r="H46" s="24"/>
      <c r="I46" s="23" t="str">
        <f t="shared" si="0"/>
        <v/>
      </c>
      <c r="J46" s="23" t="str">
        <f t="shared" si="1"/>
        <v/>
      </c>
      <c r="K46" s="23"/>
      <c r="L46" s="23"/>
      <c r="M46" s="23"/>
      <c r="N46" s="29"/>
      <c r="O46" s="29"/>
      <c r="P46" s="29"/>
      <c r="Q46" s="29"/>
      <c r="R46" s="29"/>
      <c r="S46" s="29"/>
      <c r="T46" s="29"/>
      <c r="U46" s="29"/>
      <c r="V46" s="29"/>
      <c r="W46" s="34"/>
      <c r="X46" s="29"/>
      <c r="Y46" s="29"/>
      <c r="Z46" s="29"/>
      <c r="AA46" s="29"/>
      <c r="AB46" s="29"/>
      <c r="AC46" s="29"/>
      <c r="AD46" t="str">
        <f t="shared" si="15"/>
        <v/>
      </c>
    </row>
    <row r="47" spans="1:30" x14ac:dyDescent="0.3">
      <c r="A47" s="23">
        <v>46</v>
      </c>
      <c r="B47" s="30"/>
      <c r="C47" s="30"/>
      <c r="D47" s="30"/>
      <c r="E47" s="24"/>
      <c r="F47" s="24"/>
      <c r="G47" s="34"/>
      <c r="H47" s="24"/>
      <c r="I47" s="23" t="str">
        <f t="shared" si="0"/>
        <v/>
      </c>
      <c r="J47" s="23" t="str">
        <f t="shared" si="1"/>
        <v/>
      </c>
      <c r="K47" s="23"/>
      <c r="L47" s="23"/>
      <c r="M47" s="23"/>
      <c r="N47" s="29"/>
      <c r="O47" s="29"/>
      <c r="P47" s="29"/>
      <c r="Q47" s="29"/>
      <c r="R47" s="29"/>
      <c r="S47" s="29"/>
      <c r="T47" s="29"/>
      <c r="U47" s="29"/>
      <c r="V47" s="29"/>
      <c r="W47" s="34"/>
      <c r="X47" s="29"/>
      <c r="Y47" s="29"/>
      <c r="Z47" s="29"/>
      <c r="AA47" s="29"/>
      <c r="AB47" s="29"/>
      <c r="AC47" s="29"/>
      <c r="AD47" t="str">
        <f t="shared" si="15"/>
        <v/>
      </c>
    </row>
    <row r="48" spans="1:30" x14ac:dyDescent="0.3">
      <c r="A48" s="23">
        <v>47</v>
      </c>
      <c r="B48" s="30"/>
      <c r="C48" s="30"/>
      <c r="D48" s="30"/>
      <c r="E48" s="24"/>
      <c r="F48" s="24"/>
      <c r="G48" s="34"/>
      <c r="H48" s="24"/>
      <c r="I48" s="23" t="str">
        <f t="shared" si="0"/>
        <v/>
      </c>
      <c r="J48" s="23" t="str">
        <f t="shared" si="1"/>
        <v/>
      </c>
      <c r="K48" s="23"/>
      <c r="L48" s="23"/>
      <c r="M48" s="23"/>
      <c r="N48" s="29"/>
      <c r="O48" s="29"/>
      <c r="P48" s="29"/>
      <c r="Q48" s="29"/>
      <c r="R48" s="29"/>
      <c r="S48" s="29"/>
      <c r="T48" s="29"/>
      <c r="U48" s="29"/>
      <c r="V48" s="29"/>
      <c r="W48" s="34"/>
      <c r="X48" s="29"/>
      <c r="Y48" s="29"/>
      <c r="Z48" s="29"/>
      <c r="AA48" s="29"/>
      <c r="AB48" s="29"/>
      <c r="AC48" s="29"/>
      <c r="AD48" t="str">
        <f t="shared" si="15"/>
        <v/>
      </c>
    </row>
    <row r="49" spans="1:30" x14ac:dyDescent="0.3">
      <c r="A49" s="23">
        <v>48</v>
      </c>
      <c r="B49" s="30"/>
      <c r="C49" s="30"/>
      <c r="D49" s="30"/>
      <c r="E49" s="24"/>
      <c r="F49" s="24"/>
      <c r="G49" s="34"/>
      <c r="H49" s="24"/>
      <c r="I49" s="23" t="str">
        <f t="shared" si="0"/>
        <v/>
      </c>
      <c r="J49" s="23" t="str">
        <f t="shared" si="1"/>
        <v/>
      </c>
      <c r="K49" s="23"/>
      <c r="L49" s="23"/>
      <c r="M49" s="23"/>
      <c r="N49" s="29"/>
      <c r="O49" s="29"/>
      <c r="P49" s="29"/>
      <c r="Q49" s="29"/>
      <c r="R49" s="29"/>
      <c r="S49" s="29"/>
      <c r="T49" s="29"/>
      <c r="U49" s="29"/>
      <c r="V49" s="29"/>
      <c r="W49" s="34"/>
      <c r="X49" s="29"/>
      <c r="Y49" s="29"/>
      <c r="Z49" s="29"/>
      <c r="AA49" s="29"/>
      <c r="AB49" s="29"/>
      <c r="AC49" s="29"/>
      <c r="AD49" t="str">
        <f t="shared" si="15"/>
        <v/>
      </c>
    </row>
    <row r="50" spans="1:30" x14ac:dyDescent="0.3">
      <c r="A50" s="23">
        <v>49</v>
      </c>
      <c r="B50" s="30"/>
      <c r="C50" s="30"/>
      <c r="D50" s="30"/>
      <c r="E50" s="24"/>
      <c r="F50" s="24"/>
      <c r="G50" s="34"/>
      <c r="H50" s="24"/>
      <c r="I50" s="23" t="str">
        <f t="shared" si="0"/>
        <v/>
      </c>
      <c r="J50" s="23" t="str">
        <f t="shared" si="1"/>
        <v/>
      </c>
      <c r="K50" s="23"/>
      <c r="L50" s="23"/>
      <c r="M50" s="23"/>
      <c r="N50" s="29"/>
      <c r="O50" s="29"/>
      <c r="P50" s="29"/>
      <c r="Q50" s="29"/>
      <c r="R50" s="29"/>
      <c r="S50" s="29"/>
      <c r="T50" s="29"/>
      <c r="U50" s="29"/>
      <c r="V50" s="29"/>
      <c r="W50" s="34"/>
      <c r="X50" s="29"/>
      <c r="Y50" s="29"/>
      <c r="Z50" s="29"/>
      <c r="AA50" s="29"/>
      <c r="AB50" s="29"/>
      <c r="AC50" s="29"/>
      <c r="AD50" t="str">
        <f t="shared" si="15"/>
        <v/>
      </c>
    </row>
    <row r="51" spans="1:30" x14ac:dyDescent="0.3">
      <c r="A51" s="23">
        <v>50</v>
      </c>
      <c r="B51" s="30"/>
      <c r="C51" s="30"/>
      <c r="D51" s="30"/>
      <c r="E51" s="24"/>
      <c r="F51" s="24"/>
      <c r="G51" s="34"/>
      <c r="H51" s="24"/>
      <c r="I51" s="23" t="str">
        <f t="shared" si="0"/>
        <v/>
      </c>
      <c r="J51" s="23" t="str">
        <f t="shared" si="1"/>
        <v/>
      </c>
      <c r="K51" s="23"/>
      <c r="L51" s="23"/>
      <c r="M51" s="23"/>
      <c r="N51" s="29"/>
      <c r="O51" s="29"/>
      <c r="P51" s="29"/>
      <c r="Q51" s="29"/>
      <c r="R51" s="29"/>
      <c r="S51" s="29"/>
      <c r="T51" s="29"/>
      <c r="U51" s="29"/>
      <c r="V51" s="29"/>
      <c r="W51" s="34"/>
      <c r="X51" s="29"/>
      <c r="Y51" s="29"/>
      <c r="Z51" s="29"/>
      <c r="AA51" s="29"/>
      <c r="AB51" s="29"/>
      <c r="AC51" s="29"/>
      <c r="AD51" t="str">
        <f t="shared" si="15"/>
        <v/>
      </c>
    </row>
    <row r="52" spans="1:30" x14ac:dyDescent="0.3">
      <c r="A52" s="23">
        <v>51</v>
      </c>
      <c r="B52" s="30"/>
      <c r="C52" s="30"/>
      <c r="D52" s="30"/>
      <c r="E52" s="24"/>
      <c r="F52" s="24"/>
      <c r="G52" s="34"/>
      <c r="H52" s="24"/>
      <c r="I52" s="23" t="str">
        <f t="shared" si="0"/>
        <v/>
      </c>
      <c r="J52" s="23" t="str">
        <f t="shared" si="1"/>
        <v/>
      </c>
      <c r="K52" s="23"/>
      <c r="L52" s="23"/>
      <c r="M52" s="23"/>
      <c r="N52" s="29"/>
      <c r="O52" s="29"/>
      <c r="P52" s="29"/>
      <c r="Q52" s="29"/>
      <c r="R52" s="29"/>
      <c r="S52" s="29"/>
      <c r="T52" s="29"/>
      <c r="U52" s="29"/>
      <c r="V52" s="29"/>
      <c r="W52" s="34"/>
      <c r="X52" s="29"/>
      <c r="Y52" s="29"/>
      <c r="Z52" s="29"/>
      <c r="AA52" s="29"/>
      <c r="AB52" s="29"/>
      <c r="AC52" s="29"/>
      <c r="AD52" t="str">
        <f t="shared" si="15"/>
        <v/>
      </c>
    </row>
    <row r="53" spans="1:30" x14ac:dyDescent="0.3">
      <c r="A53" s="23">
        <v>52</v>
      </c>
      <c r="B53" s="30"/>
      <c r="C53" s="30"/>
      <c r="D53" s="30"/>
      <c r="E53" s="24"/>
      <c r="F53" s="24"/>
      <c r="G53" s="34"/>
      <c r="H53" s="24"/>
      <c r="I53" s="23" t="str">
        <f t="shared" si="0"/>
        <v/>
      </c>
      <c r="J53" s="23" t="str">
        <f t="shared" si="1"/>
        <v/>
      </c>
      <c r="K53" s="23"/>
      <c r="L53" s="23"/>
      <c r="M53" s="23"/>
      <c r="N53" s="29"/>
      <c r="O53" s="29"/>
      <c r="P53" s="29"/>
      <c r="Q53" s="29"/>
      <c r="R53" s="29"/>
      <c r="S53" s="29"/>
      <c r="T53" s="29"/>
      <c r="U53" s="29"/>
      <c r="V53" s="29"/>
      <c r="W53" s="34"/>
      <c r="X53" s="29"/>
      <c r="Y53" s="29"/>
      <c r="Z53" s="29"/>
      <c r="AA53" s="29"/>
      <c r="AB53" s="29"/>
      <c r="AC53" s="29"/>
      <c r="AD53" t="str">
        <f t="shared" si="15"/>
        <v/>
      </c>
    </row>
    <row r="54" spans="1:30" x14ac:dyDescent="0.3">
      <c r="A54" s="23">
        <v>53</v>
      </c>
      <c r="B54" s="30"/>
      <c r="C54" s="30"/>
      <c r="D54" s="30"/>
      <c r="E54" s="24"/>
      <c r="F54" s="24"/>
      <c r="G54" s="34"/>
      <c r="H54" s="24"/>
      <c r="I54" s="23" t="str">
        <f t="shared" si="0"/>
        <v/>
      </c>
      <c r="J54" s="23" t="str">
        <f t="shared" si="1"/>
        <v/>
      </c>
      <c r="K54" s="23"/>
      <c r="L54" s="23"/>
      <c r="M54" s="23"/>
      <c r="N54" s="29"/>
      <c r="O54" s="29"/>
      <c r="P54" s="29"/>
      <c r="Q54" s="29"/>
      <c r="R54" s="29"/>
      <c r="S54" s="29"/>
      <c r="T54" s="29"/>
      <c r="U54" s="29"/>
      <c r="V54" s="29"/>
      <c r="W54" s="34"/>
      <c r="X54" s="29"/>
      <c r="Y54" s="29"/>
      <c r="Z54" s="29"/>
      <c r="AA54" s="29"/>
      <c r="AB54" s="29"/>
      <c r="AC54" s="29"/>
      <c r="AD54" t="str">
        <f t="shared" si="15"/>
        <v/>
      </c>
    </row>
    <row r="55" spans="1:30" x14ac:dyDescent="0.3">
      <c r="A55" s="23">
        <v>54</v>
      </c>
      <c r="B55" s="30"/>
      <c r="C55" s="30"/>
      <c r="D55" s="30"/>
      <c r="E55" s="24"/>
      <c r="F55" s="24"/>
      <c r="G55" s="34"/>
      <c r="H55" s="24"/>
      <c r="I55" s="23" t="str">
        <f t="shared" si="0"/>
        <v/>
      </c>
      <c r="J55" s="23" t="str">
        <f t="shared" si="1"/>
        <v/>
      </c>
      <c r="K55" s="23"/>
      <c r="L55" s="23"/>
      <c r="M55" s="23"/>
      <c r="N55" s="29"/>
      <c r="O55" s="29"/>
      <c r="P55" s="29"/>
      <c r="Q55" s="29"/>
      <c r="R55" s="29"/>
      <c r="S55" s="29"/>
      <c r="T55" s="29"/>
      <c r="U55" s="29"/>
      <c r="V55" s="29"/>
      <c r="W55" s="34"/>
      <c r="X55" s="29"/>
      <c r="Y55" s="29"/>
      <c r="Z55" s="29"/>
      <c r="AA55" s="29"/>
      <c r="AB55" s="29"/>
      <c r="AC55" s="29"/>
      <c r="AD55" t="str">
        <f t="shared" si="15"/>
        <v/>
      </c>
    </row>
    <row r="56" spans="1:30" x14ac:dyDescent="0.3">
      <c r="A56" s="23">
        <v>55</v>
      </c>
      <c r="B56" s="30"/>
      <c r="C56" s="30"/>
      <c r="D56" s="30"/>
      <c r="E56" s="24"/>
      <c r="F56" s="24"/>
      <c r="G56" s="34"/>
      <c r="H56" s="24"/>
      <c r="I56" s="23" t="str">
        <f t="shared" si="0"/>
        <v/>
      </c>
      <c r="J56" s="23" t="str">
        <f t="shared" si="1"/>
        <v/>
      </c>
      <c r="K56" s="23"/>
      <c r="L56" s="23"/>
      <c r="M56" s="23"/>
      <c r="N56" s="29"/>
      <c r="O56" s="29"/>
      <c r="P56" s="29"/>
      <c r="Q56" s="29"/>
      <c r="R56" s="29"/>
      <c r="S56" s="29"/>
      <c r="T56" s="29"/>
      <c r="U56" s="29"/>
      <c r="V56" s="29"/>
      <c r="W56" s="34"/>
      <c r="X56" s="29"/>
      <c r="Y56" s="29"/>
      <c r="Z56" s="29"/>
      <c r="AA56" s="29"/>
      <c r="AB56" s="29"/>
      <c r="AC56" s="29"/>
      <c r="AD56" t="str">
        <f t="shared" si="15"/>
        <v/>
      </c>
    </row>
    <row r="57" spans="1:30" x14ac:dyDescent="0.3">
      <c r="A57" s="23">
        <v>56</v>
      </c>
      <c r="B57" s="30"/>
      <c r="C57" s="30"/>
      <c r="D57" s="30"/>
      <c r="E57" s="24"/>
      <c r="F57" s="24"/>
      <c r="G57" s="34"/>
      <c r="H57" s="24"/>
      <c r="I57" s="23" t="str">
        <f t="shared" si="0"/>
        <v/>
      </c>
      <c r="J57" s="23" t="str">
        <f t="shared" si="1"/>
        <v/>
      </c>
      <c r="K57" s="23"/>
      <c r="L57" s="23"/>
      <c r="M57" s="23"/>
      <c r="N57" s="29"/>
      <c r="O57" s="29"/>
      <c r="P57" s="29"/>
      <c r="Q57" s="29"/>
      <c r="R57" s="29"/>
      <c r="S57" s="29"/>
      <c r="T57" s="29"/>
      <c r="U57" s="29"/>
      <c r="V57" s="29"/>
      <c r="W57" s="34"/>
      <c r="X57" s="29"/>
      <c r="Y57" s="29"/>
      <c r="Z57" s="29"/>
      <c r="AA57" s="29"/>
      <c r="AB57" s="29"/>
      <c r="AC57" s="29"/>
      <c r="AD57" t="str">
        <f t="shared" si="15"/>
        <v/>
      </c>
    </row>
    <row r="58" spans="1:30" x14ac:dyDescent="0.3">
      <c r="A58" s="23">
        <v>57</v>
      </c>
      <c r="B58" s="30"/>
      <c r="C58" s="30"/>
      <c r="D58" s="30"/>
      <c r="E58" s="24"/>
      <c r="F58" s="24"/>
      <c r="G58" s="34"/>
      <c r="H58" s="24"/>
      <c r="I58" s="23" t="str">
        <f t="shared" si="0"/>
        <v/>
      </c>
      <c r="J58" s="23" t="str">
        <f t="shared" si="1"/>
        <v/>
      </c>
      <c r="K58" s="23"/>
      <c r="L58" s="23"/>
      <c r="M58" s="23"/>
      <c r="N58" s="29"/>
      <c r="O58" s="29"/>
      <c r="P58" s="29"/>
      <c r="Q58" s="29"/>
      <c r="R58" s="29"/>
      <c r="S58" s="29"/>
      <c r="T58" s="29"/>
      <c r="U58" s="29"/>
      <c r="V58" s="29"/>
      <c r="W58" s="34"/>
      <c r="X58" s="29"/>
      <c r="Y58" s="29"/>
      <c r="Z58" s="29"/>
      <c r="AA58" s="29"/>
      <c r="AB58" s="29"/>
      <c r="AC58" s="29"/>
      <c r="AD58" t="str">
        <f t="shared" si="15"/>
        <v/>
      </c>
    </row>
    <row r="59" spans="1:30" x14ac:dyDescent="0.3">
      <c r="A59" s="23">
        <v>58</v>
      </c>
      <c r="B59" s="30"/>
      <c r="C59" s="30"/>
      <c r="D59" s="30"/>
      <c r="E59" s="24"/>
      <c r="F59" s="24"/>
      <c r="G59" s="34"/>
      <c r="H59" s="24"/>
      <c r="I59" s="23" t="str">
        <f t="shared" si="0"/>
        <v/>
      </c>
      <c r="J59" s="23" t="str">
        <f t="shared" si="1"/>
        <v/>
      </c>
      <c r="K59" s="23"/>
      <c r="L59" s="23"/>
      <c r="M59" s="23"/>
      <c r="N59" s="29"/>
      <c r="O59" s="29"/>
      <c r="P59" s="29"/>
      <c r="Q59" s="29"/>
      <c r="R59" s="29"/>
      <c r="S59" s="29"/>
      <c r="T59" s="29"/>
      <c r="U59" s="29"/>
      <c r="V59" s="29"/>
      <c r="W59" s="34"/>
      <c r="X59" s="29"/>
      <c r="Y59" s="29"/>
      <c r="Z59" s="29"/>
      <c r="AA59" s="29"/>
      <c r="AB59" s="29"/>
      <c r="AC59" s="29"/>
      <c r="AD59" t="str">
        <f t="shared" si="15"/>
        <v/>
      </c>
    </row>
    <row r="60" spans="1:30" x14ac:dyDescent="0.3">
      <c r="A60" s="23">
        <v>59</v>
      </c>
      <c r="B60" s="30"/>
      <c r="C60" s="30"/>
      <c r="D60" s="30"/>
      <c r="E60" s="24"/>
      <c r="F60" s="24"/>
      <c r="G60" s="34"/>
      <c r="H60" s="24"/>
      <c r="I60" s="23" t="str">
        <f t="shared" si="0"/>
        <v/>
      </c>
      <c r="J60" s="23" t="str">
        <f t="shared" si="1"/>
        <v/>
      </c>
      <c r="K60" s="23"/>
      <c r="L60" s="23"/>
      <c r="M60" s="23"/>
      <c r="N60" s="29"/>
      <c r="O60" s="29"/>
      <c r="P60" s="29"/>
      <c r="Q60" s="29"/>
      <c r="R60" s="29"/>
      <c r="S60" s="29"/>
      <c r="T60" s="29"/>
      <c r="U60" s="29"/>
      <c r="V60" s="29"/>
      <c r="W60" s="34"/>
      <c r="X60" s="29"/>
      <c r="Y60" s="29"/>
      <c r="Z60" s="29"/>
      <c r="AA60" s="29"/>
      <c r="AB60" s="29"/>
      <c r="AC60" s="29"/>
      <c r="AD60" t="str">
        <f t="shared" si="15"/>
        <v/>
      </c>
    </row>
    <row r="61" spans="1:30" x14ac:dyDescent="0.3">
      <c r="A61" s="23">
        <v>60</v>
      </c>
      <c r="B61" s="30"/>
      <c r="C61" s="30"/>
      <c r="D61" s="30"/>
      <c r="E61" s="24"/>
      <c r="F61" s="24"/>
      <c r="G61" s="34"/>
      <c r="H61" s="24"/>
      <c r="I61" s="23" t="str">
        <f t="shared" si="0"/>
        <v/>
      </c>
      <c r="J61" s="23" t="str">
        <f t="shared" si="1"/>
        <v/>
      </c>
      <c r="K61" s="23"/>
      <c r="L61" s="23"/>
      <c r="M61" s="23"/>
      <c r="N61" s="29"/>
      <c r="O61" s="29"/>
      <c r="P61" s="29"/>
      <c r="Q61" s="29"/>
      <c r="R61" s="29"/>
      <c r="S61" s="29"/>
      <c r="T61" s="29"/>
      <c r="U61" s="29"/>
      <c r="V61" s="29"/>
      <c r="W61" s="34"/>
      <c r="X61" s="29"/>
      <c r="Y61" s="29"/>
      <c r="Z61" s="29"/>
      <c r="AA61" s="29"/>
      <c r="AB61" s="29"/>
      <c r="AC61" s="29"/>
      <c r="AD61" t="str">
        <f t="shared" si="15"/>
        <v/>
      </c>
    </row>
    <row r="62" spans="1:30" x14ac:dyDescent="0.3">
      <c r="A62" s="23">
        <v>61</v>
      </c>
      <c r="B62" s="30"/>
      <c r="C62" s="30"/>
      <c r="D62" s="30"/>
      <c r="E62" s="24"/>
      <c r="F62" s="24"/>
      <c r="G62" s="34"/>
      <c r="H62" s="24"/>
      <c r="I62" s="23" t="str">
        <f t="shared" si="0"/>
        <v/>
      </c>
      <c r="J62" s="23" t="str">
        <f t="shared" si="1"/>
        <v/>
      </c>
      <c r="K62" s="23"/>
      <c r="L62" s="23"/>
      <c r="M62" s="23"/>
      <c r="N62" s="29"/>
      <c r="O62" s="29"/>
      <c r="P62" s="29"/>
      <c r="Q62" s="29"/>
      <c r="R62" s="29"/>
      <c r="S62" s="29"/>
      <c r="T62" s="29"/>
      <c r="U62" s="29"/>
      <c r="V62" s="29"/>
      <c r="W62" s="34"/>
      <c r="X62" s="29"/>
      <c r="Y62" s="29"/>
      <c r="Z62" s="29"/>
      <c r="AA62" s="29"/>
      <c r="AB62" s="29"/>
      <c r="AC62" s="29"/>
      <c r="AD62" t="str">
        <f t="shared" si="15"/>
        <v/>
      </c>
    </row>
    <row r="63" spans="1:30" x14ac:dyDescent="0.3">
      <c r="A63" s="23">
        <v>62</v>
      </c>
      <c r="B63" s="30"/>
      <c r="C63" s="30"/>
      <c r="D63" s="30"/>
      <c r="E63" s="24"/>
      <c r="F63" s="24"/>
      <c r="G63" s="34"/>
      <c r="H63" s="24"/>
      <c r="I63" s="23" t="str">
        <f t="shared" si="0"/>
        <v/>
      </c>
      <c r="J63" s="23" t="str">
        <f t="shared" si="1"/>
        <v/>
      </c>
      <c r="K63" s="23"/>
      <c r="L63" s="23"/>
      <c r="M63" s="23"/>
      <c r="N63" s="29"/>
      <c r="O63" s="29"/>
      <c r="P63" s="29"/>
      <c r="Q63" s="29"/>
      <c r="R63" s="29"/>
      <c r="S63" s="29"/>
      <c r="T63" s="29"/>
      <c r="U63" s="29"/>
      <c r="V63" s="29"/>
      <c r="W63" s="34"/>
      <c r="X63" s="29"/>
      <c r="Y63" s="29"/>
      <c r="Z63" s="29"/>
      <c r="AA63" s="29"/>
      <c r="AB63" s="29"/>
      <c r="AC63" s="29"/>
      <c r="AD63" t="str">
        <f t="shared" si="15"/>
        <v/>
      </c>
    </row>
    <row r="64" spans="1:30" x14ac:dyDescent="0.3">
      <c r="A64" s="23">
        <v>63</v>
      </c>
      <c r="B64" s="30"/>
      <c r="C64" s="30"/>
      <c r="D64" s="30"/>
      <c r="E64" s="24"/>
      <c r="F64" s="24"/>
      <c r="G64" s="34"/>
      <c r="H64" s="24"/>
      <c r="I64" s="23" t="str">
        <f t="shared" si="0"/>
        <v/>
      </c>
      <c r="J64" s="23" t="str">
        <f t="shared" si="1"/>
        <v/>
      </c>
      <c r="K64" s="23"/>
      <c r="L64" s="23"/>
      <c r="M64" s="23"/>
      <c r="N64" s="29"/>
      <c r="O64" s="29"/>
      <c r="P64" s="29"/>
      <c r="Q64" s="29"/>
      <c r="R64" s="29"/>
      <c r="S64" s="29"/>
      <c r="T64" s="29"/>
      <c r="U64" s="29"/>
      <c r="V64" s="29"/>
      <c r="W64" s="34"/>
      <c r="X64" s="29"/>
      <c r="Y64" s="29"/>
      <c r="Z64" s="29"/>
      <c r="AA64" s="29"/>
      <c r="AB64" s="29"/>
      <c r="AC64" s="29"/>
      <c r="AD64" t="str">
        <f t="shared" si="15"/>
        <v/>
      </c>
    </row>
    <row r="65" spans="1:30" x14ac:dyDescent="0.3">
      <c r="A65" s="23">
        <v>64</v>
      </c>
      <c r="B65" s="30"/>
      <c r="C65" s="30"/>
      <c r="D65" s="30"/>
      <c r="E65" s="24"/>
      <c r="F65" s="24"/>
      <c r="G65" s="34"/>
      <c r="H65" s="24"/>
      <c r="I65" s="23" t="str">
        <f t="shared" si="0"/>
        <v/>
      </c>
      <c r="J65" s="23" t="str">
        <f t="shared" si="1"/>
        <v/>
      </c>
      <c r="K65" s="23"/>
      <c r="L65" s="23"/>
      <c r="M65" s="23"/>
      <c r="N65" s="29"/>
      <c r="O65" s="29"/>
      <c r="P65" s="29"/>
      <c r="Q65" s="29"/>
      <c r="R65" s="29"/>
      <c r="S65" s="29"/>
      <c r="T65" s="29"/>
      <c r="U65" s="29"/>
      <c r="V65" s="29"/>
      <c r="W65" s="34"/>
      <c r="X65" s="29"/>
      <c r="Y65" s="29"/>
      <c r="Z65" s="29"/>
      <c r="AA65" s="29"/>
      <c r="AB65" s="29"/>
      <c r="AC65" s="29"/>
      <c r="AD65" t="str">
        <f t="shared" si="15"/>
        <v/>
      </c>
    </row>
    <row r="66" spans="1:30" x14ac:dyDescent="0.3">
      <c r="A66" s="23">
        <v>65</v>
      </c>
      <c r="B66" s="30"/>
      <c r="C66" s="30"/>
      <c r="D66" s="30"/>
      <c r="E66" s="24"/>
      <c r="F66" s="24"/>
      <c r="G66" s="34"/>
      <c r="H66" s="24"/>
      <c r="I66" s="23" t="str">
        <f t="shared" ref="I66:I129" si="16">IF($H66="","",IF(UPPER(TRIM($H66))="YES","YES",IF($N66&gt;=BASIC_CAP,"NO","YES")))</f>
        <v/>
      </c>
      <c r="J66" s="23" t="str">
        <f t="shared" ref="J66:J129" si="17">IF($G66="","",IF($G66&lt;=ESIC_LIMIT,"YES","NO"))</f>
        <v/>
      </c>
      <c r="K66" s="23"/>
      <c r="L66" s="23"/>
      <c r="M66" s="23"/>
      <c r="N66" s="29"/>
      <c r="O66" s="29"/>
      <c r="P66" s="29"/>
      <c r="Q66" s="29"/>
      <c r="R66" s="29"/>
      <c r="S66" s="29"/>
      <c r="T66" s="29"/>
      <c r="U66" s="29"/>
      <c r="V66" s="29"/>
      <c r="W66" s="34"/>
      <c r="X66" s="29"/>
      <c r="Y66" s="29"/>
      <c r="Z66" s="29"/>
      <c r="AA66" s="29"/>
      <c r="AB66" s="29"/>
      <c r="AC66" s="29"/>
      <c r="AD66" t="str">
        <f t="shared" ref="AD66:AD129" si="18">IF(G66="","",IF(G66&lt;F66,"⚠ Gross &lt; Minimum Wage",""))</f>
        <v/>
      </c>
    </row>
    <row r="67" spans="1:30" x14ac:dyDescent="0.3">
      <c r="A67" s="23">
        <v>66</v>
      </c>
      <c r="B67" s="30"/>
      <c r="C67" s="30"/>
      <c r="D67" s="30"/>
      <c r="E67" s="24"/>
      <c r="F67" s="24"/>
      <c r="G67" s="34"/>
      <c r="H67" s="24"/>
      <c r="I67" s="23" t="str">
        <f t="shared" si="16"/>
        <v/>
      </c>
      <c r="J67" s="23" t="str">
        <f t="shared" si="17"/>
        <v/>
      </c>
      <c r="K67" s="23"/>
      <c r="L67" s="23"/>
      <c r="M67" s="23"/>
      <c r="N67" s="29"/>
      <c r="O67" s="29"/>
      <c r="P67" s="29"/>
      <c r="Q67" s="29"/>
      <c r="R67" s="29"/>
      <c r="S67" s="29"/>
      <c r="T67" s="29"/>
      <c r="U67" s="29"/>
      <c r="V67" s="29"/>
      <c r="W67" s="34"/>
      <c r="X67" s="29"/>
      <c r="Y67" s="29"/>
      <c r="Z67" s="29"/>
      <c r="AA67" s="29"/>
      <c r="AB67" s="29"/>
      <c r="AC67" s="29"/>
      <c r="AD67" t="str">
        <f t="shared" si="18"/>
        <v/>
      </c>
    </row>
    <row r="68" spans="1:30" x14ac:dyDescent="0.3">
      <c r="A68" s="23">
        <v>67</v>
      </c>
      <c r="B68" s="30"/>
      <c r="C68" s="30"/>
      <c r="D68" s="30"/>
      <c r="E68" s="24"/>
      <c r="F68" s="24"/>
      <c r="G68" s="34"/>
      <c r="H68" s="24"/>
      <c r="I68" s="23" t="str">
        <f t="shared" si="16"/>
        <v/>
      </c>
      <c r="J68" s="23" t="str">
        <f t="shared" si="17"/>
        <v/>
      </c>
      <c r="K68" s="23"/>
      <c r="L68" s="23"/>
      <c r="M68" s="23"/>
      <c r="N68" s="29"/>
      <c r="O68" s="29"/>
      <c r="P68" s="29"/>
      <c r="Q68" s="29"/>
      <c r="R68" s="29"/>
      <c r="S68" s="29"/>
      <c r="T68" s="29"/>
      <c r="U68" s="29"/>
      <c r="V68" s="29"/>
      <c r="W68" s="34"/>
      <c r="X68" s="29"/>
      <c r="Y68" s="29"/>
      <c r="Z68" s="29"/>
      <c r="AA68" s="29"/>
      <c r="AB68" s="29"/>
      <c r="AC68" s="29"/>
      <c r="AD68" t="str">
        <f t="shared" si="18"/>
        <v/>
      </c>
    </row>
    <row r="69" spans="1:30" x14ac:dyDescent="0.3">
      <c r="A69" s="23">
        <v>68</v>
      </c>
      <c r="B69" s="30"/>
      <c r="C69" s="30"/>
      <c r="D69" s="30"/>
      <c r="E69" s="24"/>
      <c r="F69" s="24"/>
      <c r="G69" s="34"/>
      <c r="H69" s="24"/>
      <c r="I69" s="23" t="str">
        <f t="shared" si="16"/>
        <v/>
      </c>
      <c r="J69" s="23" t="str">
        <f t="shared" si="17"/>
        <v/>
      </c>
      <c r="K69" s="23"/>
      <c r="L69" s="23"/>
      <c r="M69" s="23"/>
      <c r="N69" s="29"/>
      <c r="O69" s="29"/>
      <c r="P69" s="29"/>
      <c r="Q69" s="29"/>
      <c r="R69" s="29"/>
      <c r="S69" s="29"/>
      <c r="T69" s="29"/>
      <c r="U69" s="29"/>
      <c r="V69" s="29"/>
      <c r="W69" s="34"/>
      <c r="X69" s="29"/>
      <c r="Y69" s="29"/>
      <c r="Z69" s="29"/>
      <c r="AA69" s="29"/>
      <c r="AB69" s="29"/>
      <c r="AC69" s="29"/>
      <c r="AD69" t="str">
        <f t="shared" si="18"/>
        <v/>
      </c>
    </row>
    <row r="70" spans="1:30" x14ac:dyDescent="0.3">
      <c r="A70" s="23">
        <v>69</v>
      </c>
      <c r="B70" s="30"/>
      <c r="C70" s="30"/>
      <c r="D70" s="30"/>
      <c r="E70" s="24"/>
      <c r="F70" s="24"/>
      <c r="G70" s="34"/>
      <c r="H70" s="24"/>
      <c r="I70" s="23" t="str">
        <f t="shared" si="16"/>
        <v/>
      </c>
      <c r="J70" s="23" t="str">
        <f t="shared" si="17"/>
        <v/>
      </c>
      <c r="K70" s="23"/>
      <c r="L70" s="23"/>
      <c r="M70" s="23"/>
      <c r="N70" s="29"/>
      <c r="O70" s="29"/>
      <c r="P70" s="29"/>
      <c r="Q70" s="29"/>
      <c r="R70" s="29"/>
      <c r="S70" s="29"/>
      <c r="T70" s="29"/>
      <c r="U70" s="29"/>
      <c r="V70" s="29"/>
      <c r="W70" s="34"/>
      <c r="X70" s="29"/>
      <c r="Y70" s="29"/>
      <c r="Z70" s="29"/>
      <c r="AA70" s="29"/>
      <c r="AB70" s="29"/>
      <c r="AC70" s="29"/>
      <c r="AD70" t="str">
        <f t="shared" si="18"/>
        <v/>
      </c>
    </row>
    <row r="71" spans="1:30" x14ac:dyDescent="0.3">
      <c r="A71" s="23">
        <v>70</v>
      </c>
      <c r="B71" s="30"/>
      <c r="C71" s="30"/>
      <c r="D71" s="30"/>
      <c r="E71" s="24"/>
      <c r="F71" s="24"/>
      <c r="G71" s="34"/>
      <c r="H71" s="24"/>
      <c r="I71" s="23" t="str">
        <f t="shared" si="16"/>
        <v/>
      </c>
      <c r="J71" s="23" t="str">
        <f t="shared" si="17"/>
        <v/>
      </c>
      <c r="K71" s="23"/>
      <c r="L71" s="23"/>
      <c r="M71" s="23"/>
      <c r="N71" s="29"/>
      <c r="O71" s="29"/>
      <c r="P71" s="29"/>
      <c r="Q71" s="29"/>
      <c r="R71" s="29"/>
      <c r="S71" s="29"/>
      <c r="T71" s="29"/>
      <c r="U71" s="29"/>
      <c r="V71" s="29"/>
      <c r="W71" s="34"/>
      <c r="X71" s="29"/>
      <c r="Y71" s="29"/>
      <c r="Z71" s="29"/>
      <c r="AA71" s="29"/>
      <c r="AB71" s="29"/>
      <c r="AC71" s="29"/>
      <c r="AD71" t="str">
        <f t="shared" si="18"/>
        <v/>
      </c>
    </row>
    <row r="72" spans="1:30" x14ac:dyDescent="0.3">
      <c r="A72" s="23">
        <v>71</v>
      </c>
      <c r="B72" s="30"/>
      <c r="C72" s="30"/>
      <c r="D72" s="30"/>
      <c r="E72" s="24"/>
      <c r="F72" s="24"/>
      <c r="G72" s="34"/>
      <c r="H72" s="24"/>
      <c r="I72" s="23" t="str">
        <f t="shared" si="16"/>
        <v/>
      </c>
      <c r="J72" s="23" t="str">
        <f t="shared" si="17"/>
        <v/>
      </c>
      <c r="K72" s="23"/>
      <c r="L72" s="23"/>
      <c r="M72" s="23"/>
      <c r="N72" s="29"/>
      <c r="O72" s="29"/>
      <c r="P72" s="29"/>
      <c r="Q72" s="29"/>
      <c r="R72" s="29"/>
      <c r="S72" s="29"/>
      <c r="T72" s="29"/>
      <c r="U72" s="29"/>
      <c r="V72" s="29"/>
      <c r="W72" s="34"/>
      <c r="X72" s="29"/>
      <c r="Y72" s="29"/>
      <c r="Z72" s="29"/>
      <c r="AA72" s="29"/>
      <c r="AB72" s="29"/>
      <c r="AC72" s="29"/>
      <c r="AD72" t="str">
        <f t="shared" si="18"/>
        <v/>
      </c>
    </row>
    <row r="73" spans="1:30" x14ac:dyDescent="0.3">
      <c r="A73" s="23">
        <v>72</v>
      </c>
      <c r="B73" s="30"/>
      <c r="C73" s="30"/>
      <c r="D73" s="30"/>
      <c r="E73" s="24"/>
      <c r="F73" s="24"/>
      <c r="G73" s="34"/>
      <c r="H73" s="24"/>
      <c r="I73" s="23" t="str">
        <f t="shared" si="16"/>
        <v/>
      </c>
      <c r="J73" s="23" t="str">
        <f t="shared" si="17"/>
        <v/>
      </c>
      <c r="K73" s="23"/>
      <c r="L73" s="23"/>
      <c r="M73" s="23"/>
      <c r="N73" s="29"/>
      <c r="O73" s="29"/>
      <c r="P73" s="29"/>
      <c r="Q73" s="29"/>
      <c r="R73" s="29"/>
      <c r="S73" s="29"/>
      <c r="T73" s="29"/>
      <c r="U73" s="29"/>
      <c r="V73" s="29"/>
      <c r="W73" s="34"/>
      <c r="X73" s="29"/>
      <c r="Y73" s="29"/>
      <c r="Z73" s="29"/>
      <c r="AA73" s="29"/>
      <c r="AB73" s="29"/>
      <c r="AC73" s="29"/>
      <c r="AD73" t="str">
        <f t="shared" si="18"/>
        <v/>
      </c>
    </row>
    <row r="74" spans="1:30" x14ac:dyDescent="0.3">
      <c r="A74" s="23">
        <v>73</v>
      </c>
      <c r="B74" s="30"/>
      <c r="C74" s="30"/>
      <c r="D74" s="30"/>
      <c r="E74" s="24"/>
      <c r="F74" s="24"/>
      <c r="G74" s="34"/>
      <c r="H74" s="24"/>
      <c r="I74" s="23" t="str">
        <f t="shared" si="16"/>
        <v/>
      </c>
      <c r="J74" s="23" t="str">
        <f t="shared" si="17"/>
        <v/>
      </c>
      <c r="K74" s="23"/>
      <c r="L74" s="23"/>
      <c r="M74" s="23"/>
      <c r="N74" s="29"/>
      <c r="O74" s="29"/>
      <c r="P74" s="29"/>
      <c r="Q74" s="29"/>
      <c r="R74" s="29"/>
      <c r="S74" s="29"/>
      <c r="T74" s="29"/>
      <c r="U74" s="29"/>
      <c r="V74" s="29"/>
      <c r="W74" s="34"/>
      <c r="X74" s="29"/>
      <c r="Y74" s="29"/>
      <c r="Z74" s="29"/>
      <c r="AA74" s="29"/>
      <c r="AB74" s="29"/>
      <c r="AC74" s="29"/>
      <c r="AD74" t="str">
        <f t="shared" si="18"/>
        <v/>
      </c>
    </row>
    <row r="75" spans="1:30" x14ac:dyDescent="0.3">
      <c r="A75" s="23">
        <v>74</v>
      </c>
      <c r="B75" s="30"/>
      <c r="C75" s="30"/>
      <c r="D75" s="30"/>
      <c r="E75" s="24"/>
      <c r="F75" s="24"/>
      <c r="G75" s="34"/>
      <c r="H75" s="24"/>
      <c r="I75" s="23" t="str">
        <f t="shared" si="16"/>
        <v/>
      </c>
      <c r="J75" s="23" t="str">
        <f t="shared" si="17"/>
        <v/>
      </c>
      <c r="K75" s="23"/>
      <c r="L75" s="23"/>
      <c r="M75" s="23"/>
      <c r="N75" s="29"/>
      <c r="O75" s="29"/>
      <c r="P75" s="29"/>
      <c r="Q75" s="29"/>
      <c r="R75" s="29"/>
      <c r="S75" s="29"/>
      <c r="T75" s="29"/>
      <c r="U75" s="29"/>
      <c r="V75" s="29"/>
      <c r="W75" s="34"/>
      <c r="X75" s="29"/>
      <c r="Y75" s="29"/>
      <c r="Z75" s="29"/>
      <c r="AA75" s="29"/>
      <c r="AB75" s="29"/>
      <c r="AC75" s="29"/>
      <c r="AD75" t="str">
        <f t="shared" si="18"/>
        <v/>
      </c>
    </row>
    <row r="76" spans="1:30" x14ac:dyDescent="0.3">
      <c r="A76" s="23">
        <v>75</v>
      </c>
      <c r="B76" s="30"/>
      <c r="C76" s="30"/>
      <c r="D76" s="30"/>
      <c r="E76" s="24"/>
      <c r="F76" s="24"/>
      <c r="G76" s="34"/>
      <c r="H76" s="24"/>
      <c r="I76" s="23" t="str">
        <f t="shared" si="16"/>
        <v/>
      </c>
      <c r="J76" s="23" t="str">
        <f t="shared" si="17"/>
        <v/>
      </c>
      <c r="K76" s="23"/>
      <c r="L76" s="23"/>
      <c r="M76" s="23"/>
      <c r="N76" s="29"/>
      <c r="O76" s="29"/>
      <c r="P76" s="29"/>
      <c r="Q76" s="29"/>
      <c r="R76" s="29"/>
      <c r="S76" s="29"/>
      <c r="T76" s="29"/>
      <c r="U76" s="29"/>
      <c r="V76" s="29"/>
      <c r="W76" s="34"/>
      <c r="X76" s="29"/>
      <c r="Y76" s="29"/>
      <c r="Z76" s="29"/>
      <c r="AA76" s="29"/>
      <c r="AB76" s="29"/>
      <c r="AC76" s="29"/>
      <c r="AD76" t="str">
        <f t="shared" si="18"/>
        <v/>
      </c>
    </row>
    <row r="77" spans="1:30" x14ac:dyDescent="0.3">
      <c r="A77" s="23">
        <v>76</v>
      </c>
      <c r="B77" s="30"/>
      <c r="C77" s="30"/>
      <c r="D77" s="30"/>
      <c r="E77" s="24"/>
      <c r="F77" s="24"/>
      <c r="G77" s="34"/>
      <c r="H77" s="24"/>
      <c r="I77" s="23" t="str">
        <f t="shared" si="16"/>
        <v/>
      </c>
      <c r="J77" s="23" t="str">
        <f t="shared" si="17"/>
        <v/>
      </c>
      <c r="K77" s="23"/>
      <c r="L77" s="23"/>
      <c r="M77" s="23"/>
      <c r="N77" s="29"/>
      <c r="O77" s="29"/>
      <c r="P77" s="29"/>
      <c r="Q77" s="29"/>
      <c r="R77" s="29"/>
      <c r="S77" s="29"/>
      <c r="T77" s="29"/>
      <c r="U77" s="29"/>
      <c r="V77" s="29"/>
      <c r="W77" s="34"/>
      <c r="X77" s="29"/>
      <c r="Y77" s="29"/>
      <c r="Z77" s="29"/>
      <c r="AA77" s="29"/>
      <c r="AB77" s="29"/>
      <c r="AC77" s="29"/>
      <c r="AD77" t="str">
        <f t="shared" si="18"/>
        <v/>
      </c>
    </row>
    <row r="78" spans="1:30" x14ac:dyDescent="0.3">
      <c r="A78" s="23">
        <v>77</v>
      </c>
      <c r="B78" s="30"/>
      <c r="C78" s="30"/>
      <c r="D78" s="30"/>
      <c r="E78" s="24"/>
      <c r="F78" s="24"/>
      <c r="G78" s="34"/>
      <c r="H78" s="24"/>
      <c r="I78" s="23" t="str">
        <f t="shared" si="16"/>
        <v/>
      </c>
      <c r="J78" s="23" t="str">
        <f t="shared" si="17"/>
        <v/>
      </c>
      <c r="K78" s="23"/>
      <c r="L78" s="23"/>
      <c r="M78" s="23"/>
      <c r="N78" s="29"/>
      <c r="O78" s="29"/>
      <c r="P78" s="29"/>
      <c r="Q78" s="29"/>
      <c r="R78" s="29"/>
      <c r="S78" s="29"/>
      <c r="T78" s="29"/>
      <c r="U78" s="29"/>
      <c r="V78" s="29"/>
      <c r="W78" s="34"/>
      <c r="X78" s="29"/>
      <c r="Y78" s="29"/>
      <c r="Z78" s="29"/>
      <c r="AA78" s="29"/>
      <c r="AB78" s="29"/>
      <c r="AC78" s="29"/>
      <c r="AD78" t="str">
        <f t="shared" si="18"/>
        <v/>
      </c>
    </row>
    <row r="79" spans="1:30" x14ac:dyDescent="0.3">
      <c r="A79" s="23">
        <v>78</v>
      </c>
      <c r="B79" s="30"/>
      <c r="C79" s="30"/>
      <c r="D79" s="30"/>
      <c r="E79" s="24"/>
      <c r="F79" s="24"/>
      <c r="G79" s="34"/>
      <c r="H79" s="24"/>
      <c r="I79" s="23" t="str">
        <f t="shared" si="16"/>
        <v/>
      </c>
      <c r="J79" s="23" t="str">
        <f t="shared" si="17"/>
        <v/>
      </c>
      <c r="K79" s="23"/>
      <c r="L79" s="23"/>
      <c r="M79" s="23"/>
      <c r="N79" s="29"/>
      <c r="O79" s="29"/>
      <c r="P79" s="29"/>
      <c r="Q79" s="29"/>
      <c r="R79" s="29"/>
      <c r="S79" s="29"/>
      <c r="T79" s="29"/>
      <c r="U79" s="29"/>
      <c r="V79" s="29"/>
      <c r="W79" s="34"/>
      <c r="X79" s="29"/>
      <c r="Y79" s="29"/>
      <c r="Z79" s="29"/>
      <c r="AA79" s="29"/>
      <c r="AB79" s="29"/>
      <c r="AC79" s="29"/>
      <c r="AD79" t="str">
        <f t="shared" si="18"/>
        <v/>
      </c>
    </row>
    <row r="80" spans="1:30" x14ac:dyDescent="0.3">
      <c r="A80" s="23">
        <v>79</v>
      </c>
      <c r="B80" s="30"/>
      <c r="C80" s="30"/>
      <c r="D80" s="30"/>
      <c r="E80" s="24"/>
      <c r="F80" s="24"/>
      <c r="G80" s="34"/>
      <c r="H80" s="24"/>
      <c r="I80" s="23" t="str">
        <f t="shared" si="16"/>
        <v/>
      </c>
      <c r="J80" s="23" t="str">
        <f t="shared" si="17"/>
        <v/>
      </c>
      <c r="K80" s="23"/>
      <c r="L80" s="23"/>
      <c r="M80" s="23"/>
      <c r="N80" s="29"/>
      <c r="O80" s="29"/>
      <c r="P80" s="29"/>
      <c r="Q80" s="29"/>
      <c r="R80" s="29"/>
      <c r="S80" s="29"/>
      <c r="T80" s="29"/>
      <c r="U80" s="29"/>
      <c r="V80" s="29"/>
      <c r="W80" s="34"/>
      <c r="X80" s="29"/>
      <c r="Y80" s="29"/>
      <c r="Z80" s="29"/>
      <c r="AA80" s="29"/>
      <c r="AB80" s="29"/>
      <c r="AC80" s="29"/>
      <c r="AD80" t="str">
        <f t="shared" si="18"/>
        <v/>
      </c>
    </row>
    <row r="81" spans="1:30" x14ac:dyDescent="0.3">
      <c r="A81" s="23">
        <v>80</v>
      </c>
      <c r="B81" s="30"/>
      <c r="C81" s="30"/>
      <c r="D81" s="30"/>
      <c r="E81" s="24"/>
      <c r="F81" s="24"/>
      <c r="G81" s="34"/>
      <c r="H81" s="24"/>
      <c r="I81" s="23" t="str">
        <f t="shared" si="16"/>
        <v/>
      </c>
      <c r="J81" s="23" t="str">
        <f t="shared" si="17"/>
        <v/>
      </c>
      <c r="K81" s="23"/>
      <c r="L81" s="23"/>
      <c r="M81" s="23"/>
      <c r="N81" s="29"/>
      <c r="O81" s="29"/>
      <c r="P81" s="29"/>
      <c r="Q81" s="29"/>
      <c r="R81" s="29"/>
      <c r="S81" s="29"/>
      <c r="T81" s="29"/>
      <c r="U81" s="29"/>
      <c r="V81" s="29"/>
      <c r="W81" s="34"/>
      <c r="X81" s="29"/>
      <c r="Y81" s="29"/>
      <c r="Z81" s="29"/>
      <c r="AA81" s="29"/>
      <c r="AB81" s="29"/>
      <c r="AC81" s="29"/>
      <c r="AD81" t="str">
        <f t="shared" si="18"/>
        <v/>
      </c>
    </row>
    <row r="82" spans="1:30" x14ac:dyDescent="0.3">
      <c r="A82" s="23">
        <v>81</v>
      </c>
      <c r="B82" s="30"/>
      <c r="C82" s="30"/>
      <c r="D82" s="30"/>
      <c r="E82" s="24"/>
      <c r="F82" s="24"/>
      <c r="G82" s="34"/>
      <c r="H82" s="24"/>
      <c r="I82" s="23" t="str">
        <f t="shared" si="16"/>
        <v/>
      </c>
      <c r="J82" s="23" t="str">
        <f t="shared" si="17"/>
        <v/>
      </c>
      <c r="K82" s="23"/>
      <c r="L82" s="23"/>
      <c r="M82" s="23"/>
      <c r="N82" s="29"/>
      <c r="O82" s="29"/>
      <c r="P82" s="29"/>
      <c r="Q82" s="29"/>
      <c r="R82" s="29"/>
      <c r="S82" s="29"/>
      <c r="T82" s="29"/>
      <c r="U82" s="29"/>
      <c r="V82" s="29"/>
      <c r="W82" s="34"/>
      <c r="X82" s="29"/>
      <c r="Y82" s="29"/>
      <c r="Z82" s="29"/>
      <c r="AA82" s="29"/>
      <c r="AB82" s="29"/>
      <c r="AC82" s="29"/>
      <c r="AD82" t="str">
        <f t="shared" si="18"/>
        <v/>
      </c>
    </row>
    <row r="83" spans="1:30" x14ac:dyDescent="0.3">
      <c r="A83" s="23">
        <v>82</v>
      </c>
      <c r="B83" s="30"/>
      <c r="C83" s="30"/>
      <c r="D83" s="30"/>
      <c r="E83" s="24"/>
      <c r="F83" s="24"/>
      <c r="G83" s="34"/>
      <c r="H83" s="24"/>
      <c r="I83" s="23" t="str">
        <f t="shared" si="16"/>
        <v/>
      </c>
      <c r="J83" s="23" t="str">
        <f t="shared" si="17"/>
        <v/>
      </c>
      <c r="K83" s="23"/>
      <c r="L83" s="23"/>
      <c r="M83" s="23"/>
      <c r="N83" s="29"/>
      <c r="O83" s="29"/>
      <c r="P83" s="29"/>
      <c r="Q83" s="29"/>
      <c r="R83" s="29"/>
      <c r="S83" s="29"/>
      <c r="T83" s="29"/>
      <c r="U83" s="29"/>
      <c r="V83" s="29"/>
      <c r="W83" s="34"/>
      <c r="X83" s="29"/>
      <c r="Y83" s="29"/>
      <c r="Z83" s="29"/>
      <c r="AA83" s="29"/>
      <c r="AB83" s="29"/>
      <c r="AC83" s="29"/>
      <c r="AD83" t="str">
        <f t="shared" si="18"/>
        <v/>
      </c>
    </row>
    <row r="84" spans="1:30" x14ac:dyDescent="0.3">
      <c r="A84" s="23">
        <v>83</v>
      </c>
      <c r="B84" s="30"/>
      <c r="C84" s="30"/>
      <c r="D84" s="30"/>
      <c r="E84" s="24"/>
      <c r="F84" s="24"/>
      <c r="G84" s="34"/>
      <c r="H84" s="24"/>
      <c r="I84" s="23" t="str">
        <f t="shared" si="16"/>
        <v/>
      </c>
      <c r="J84" s="23" t="str">
        <f t="shared" si="17"/>
        <v/>
      </c>
      <c r="K84" s="23"/>
      <c r="L84" s="23"/>
      <c r="M84" s="23"/>
      <c r="N84" s="29"/>
      <c r="O84" s="29"/>
      <c r="P84" s="29"/>
      <c r="Q84" s="29"/>
      <c r="R84" s="29"/>
      <c r="S84" s="29"/>
      <c r="T84" s="29"/>
      <c r="U84" s="29"/>
      <c r="V84" s="29"/>
      <c r="W84" s="34"/>
      <c r="X84" s="29"/>
      <c r="Y84" s="29"/>
      <c r="Z84" s="29"/>
      <c r="AA84" s="29"/>
      <c r="AB84" s="29"/>
      <c r="AC84" s="29"/>
      <c r="AD84" t="str">
        <f t="shared" si="18"/>
        <v/>
      </c>
    </row>
    <row r="85" spans="1:30" x14ac:dyDescent="0.3">
      <c r="A85" s="23">
        <v>84</v>
      </c>
      <c r="B85" s="30"/>
      <c r="C85" s="30"/>
      <c r="D85" s="30"/>
      <c r="E85" s="24"/>
      <c r="F85" s="24"/>
      <c r="G85" s="34"/>
      <c r="H85" s="24"/>
      <c r="I85" s="23" t="str">
        <f t="shared" si="16"/>
        <v/>
      </c>
      <c r="J85" s="23" t="str">
        <f t="shared" si="17"/>
        <v/>
      </c>
      <c r="K85" s="23"/>
      <c r="L85" s="23"/>
      <c r="M85" s="23"/>
      <c r="N85" s="29"/>
      <c r="O85" s="29"/>
      <c r="P85" s="29"/>
      <c r="Q85" s="29"/>
      <c r="R85" s="29"/>
      <c r="S85" s="29"/>
      <c r="T85" s="29"/>
      <c r="U85" s="29"/>
      <c r="V85" s="29"/>
      <c r="W85" s="34"/>
      <c r="X85" s="29"/>
      <c r="Y85" s="29"/>
      <c r="Z85" s="29"/>
      <c r="AA85" s="29"/>
      <c r="AB85" s="29"/>
      <c r="AC85" s="29"/>
      <c r="AD85" t="str">
        <f t="shared" si="18"/>
        <v/>
      </c>
    </row>
    <row r="86" spans="1:30" x14ac:dyDescent="0.3">
      <c r="A86" s="23">
        <v>85</v>
      </c>
      <c r="B86" s="30"/>
      <c r="C86" s="30"/>
      <c r="D86" s="30"/>
      <c r="E86" s="24"/>
      <c r="F86" s="24"/>
      <c r="G86" s="34"/>
      <c r="H86" s="24"/>
      <c r="I86" s="23" t="str">
        <f t="shared" si="16"/>
        <v/>
      </c>
      <c r="J86" s="23" t="str">
        <f t="shared" si="17"/>
        <v/>
      </c>
      <c r="K86" s="23"/>
      <c r="L86" s="23"/>
      <c r="M86" s="23"/>
      <c r="N86" s="29"/>
      <c r="O86" s="29"/>
      <c r="P86" s="29"/>
      <c r="Q86" s="29"/>
      <c r="R86" s="29"/>
      <c r="S86" s="29"/>
      <c r="T86" s="29"/>
      <c r="U86" s="29"/>
      <c r="V86" s="29"/>
      <c r="W86" s="34"/>
      <c r="X86" s="29"/>
      <c r="Y86" s="29"/>
      <c r="Z86" s="29"/>
      <c r="AA86" s="29"/>
      <c r="AB86" s="29"/>
      <c r="AC86" s="29"/>
      <c r="AD86" t="str">
        <f t="shared" si="18"/>
        <v/>
      </c>
    </row>
    <row r="87" spans="1:30" x14ac:dyDescent="0.3">
      <c r="A87" s="23">
        <v>86</v>
      </c>
      <c r="B87" s="30"/>
      <c r="C87" s="30"/>
      <c r="D87" s="30"/>
      <c r="E87" s="24"/>
      <c r="F87" s="24"/>
      <c r="G87" s="34"/>
      <c r="H87" s="24"/>
      <c r="I87" s="23" t="str">
        <f t="shared" si="16"/>
        <v/>
      </c>
      <c r="J87" s="23" t="str">
        <f t="shared" si="17"/>
        <v/>
      </c>
      <c r="K87" s="23"/>
      <c r="L87" s="23"/>
      <c r="M87" s="23"/>
      <c r="N87" s="29"/>
      <c r="O87" s="29"/>
      <c r="P87" s="29"/>
      <c r="Q87" s="29"/>
      <c r="R87" s="29"/>
      <c r="S87" s="29"/>
      <c r="T87" s="29"/>
      <c r="U87" s="29"/>
      <c r="V87" s="29"/>
      <c r="W87" s="34"/>
      <c r="X87" s="29"/>
      <c r="Y87" s="29"/>
      <c r="Z87" s="29"/>
      <c r="AA87" s="29"/>
      <c r="AB87" s="29"/>
      <c r="AC87" s="29"/>
      <c r="AD87" t="str">
        <f t="shared" si="18"/>
        <v/>
      </c>
    </row>
    <row r="88" spans="1:30" x14ac:dyDescent="0.3">
      <c r="A88" s="23">
        <v>87</v>
      </c>
      <c r="B88" s="30"/>
      <c r="C88" s="30"/>
      <c r="D88" s="30"/>
      <c r="E88" s="24"/>
      <c r="F88" s="24"/>
      <c r="G88" s="34"/>
      <c r="H88" s="24"/>
      <c r="I88" s="23" t="str">
        <f t="shared" si="16"/>
        <v/>
      </c>
      <c r="J88" s="23" t="str">
        <f t="shared" si="17"/>
        <v/>
      </c>
      <c r="K88" s="23"/>
      <c r="L88" s="23"/>
      <c r="M88" s="23"/>
      <c r="N88" s="29"/>
      <c r="O88" s="29"/>
      <c r="P88" s="29"/>
      <c r="Q88" s="29"/>
      <c r="R88" s="29"/>
      <c r="S88" s="29"/>
      <c r="T88" s="29"/>
      <c r="U88" s="29"/>
      <c r="V88" s="29"/>
      <c r="W88" s="34"/>
      <c r="X88" s="29"/>
      <c r="Y88" s="29"/>
      <c r="Z88" s="29"/>
      <c r="AA88" s="29"/>
      <c r="AB88" s="29"/>
      <c r="AC88" s="29"/>
      <c r="AD88" t="str">
        <f t="shared" si="18"/>
        <v/>
      </c>
    </row>
    <row r="89" spans="1:30" x14ac:dyDescent="0.3">
      <c r="A89" s="23">
        <v>88</v>
      </c>
      <c r="B89" s="30"/>
      <c r="C89" s="30"/>
      <c r="D89" s="30"/>
      <c r="E89" s="24"/>
      <c r="F89" s="24"/>
      <c r="G89" s="34"/>
      <c r="H89" s="24"/>
      <c r="I89" s="23" t="str">
        <f t="shared" si="16"/>
        <v/>
      </c>
      <c r="J89" s="23" t="str">
        <f t="shared" si="17"/>
        <v/>
      </c>
      <c r="K89" s="23"/>
      <c r="L89" s="23"/>
      <c r="M89" s="23"/>
      <c r="N89" s="29"/>
      <c r="O89" s="29"/>
      <c r="P89" s="29"/>
      <c r="Q89" s="29"/>
      <c r="R89" s="29"/>
      <c r="S89" s="29"/>
      <c r="T89" s="29"/>
      <c r="U89" s="29"/>
      <c r="V89" s="29"/>
      <c r="W89" s="34"/>
      <c r="X89" s="29"/>
      <c r="Y89" s="29"/>
      <c r="Z89" s="29"/>
      <c r="AA89" s="29"/>
      <c r="AB89" s="29"/>
      <c r="AC89" s="29"/>
      <c r="AD89" t="str">
        <f t="shared" si="18"/>
        <v/>
      </c>
    </row>
    <row r="90" spans="1:30" x14ac:dyDescent="0.3">
      <c r="A90" s="23">
        <v>89</v>
      </c>
      <c r="B90" s="30"/>
      <c r="C90" s="30"/>
      <c r="D90" s="30"/>
      <c r="E90" s="24"/>
      <c r="F90" s="24"/>
      <c r="G90" s="34"/>
      <c r="H90" s="24"/>
      <c r="I90" s="23" t="str">
        <f t="shared" si="16"/>
        <v/>
      </c>
      <c r="J90" s="23" t="str">
        <f t="shared" si="17"/>
        <v/>
      </c>
      <c r="K90" s="23"/>
      <c r="L90" s="23"/>
      <c r="M90" s="23"/>
      <c r="N90" s="29"/>
      <c r="O90" s="29"/>
      <c r="P90" s="29"/>
      <c r="Q90" s="29"/>
      <c r="R90" s="29"/>
      <c r="S90" s="29"/>
      <c r="T90" s="29"/>
      <c r="U90" s="29"/>
      <c r="V90" s="29"/>
      <c r="W90" s="34"/>
      <c r="X90" s="29"/>
      <c r="Y90" s="29"/>
      <c r="Z90" s="29"/>
      <c r="AA90" s="29"/>
      <c r="AB90" s="29"/>
      <c r="AC90" s="29"/>
      <c r="AD90" t="str">
        <f t="shared" si="18"/>
        <v/>
      </c>
    </row>
    <row r="91" spans="1:30" x14ac:dyDescent="0.3">
      <c r="A91" s="23">
        <v>90</v>
      </c>
      <c r="B91" s="30"/>
      <c r="C91" s="30"/>
      <c r="D91" s="30"/>
      <c r="E91" s="24"/>
      <c r="F91" s="24"/>
      <c r="G91" s="34"/>
      <c r="H91" s="24"/>
      <c r="I91" s="23" t="str">
        <f t="shared" si="16"/>
        <v/>
      </c>
      <c r="J91" s="23" t="str">
        <f t="shared" si="17"/>
        <v/>
      </c>
      <c r="K91" s="23"/>
      <c r="L91" s="23"/>
      <c r="M91" s="23"/>
      <c r="N91" s="29"/>
      <c r="O91" s="29"/>
      <c r="P91" s="29"/>
      <c r="Q91" s="29"/>
      <c r="R91" s="29"/>
      <c r="S91" s="29"/>
      <c r="T91" s="29"/>
      <c r="U91" s="29"/>
      <c r="V91" s="29"/>
      <c r="W91" s="34"/>
      <c r="X91" s="29"/>
      <c r="Y91" s="29"/>
      <c r="Z91" s="29"/>
      <c r="AA91" s="29"/>
      <c r="AB91" s="29"/>
      <c r="AC91" s="29"/>
      <c r="AD91" t="str">
        <f t="shared" si="18"/>
        <v/>
      </c>
    </row>
    <row r="92" spans="1:30" x14ac:dyDescent="0.3">
      <c r="A92" s="23">
        <v>91</v>
      </c>
      <c r="B92" s="30"/>
      <c r="C92" s="30"/>
      <c r="D92" s="30"/>
      <c r="E92" s="24"/>
      <c r="F92" s="24"/>
      <c r="G92" s="34"/>
      <c r="H92" s="24"/>
      <c r="I92" s="23" t="str">
        <f t="shared" si="16"/>
        <v/>
      </c>
      <c r="J92" s="23" t="str">
        <f t="shared" si="17"/>
        <v/>
      </c>
      <c r="K92" s="23"/>
      <c r="L92" s="23"/>
      <c r="M92" s="23"/>
      <c r="N92" s="29"/>
      <c r="O92" s="29"/>
      <c r="P92" s="29"/>
      <c r="Q92" s="29"/>
      <c r="R92" s="29"/>
      <c r="S92" s="29"/>
      <c r="T92" s="29"/>
      <c r="U92" s="29"/>
      <c r="V92" s="29"/>
      <c r="W92" s="34"/>
      <c r="X92" s="29"/>
      <c r="Y92" s="29"/>
      <c r="Z92" s="29"/>
      <c r="AA92" s="29"/>
      <c r="AB92" s="29"/>
      <c r="AC92" s="29"/>
      <c r="AD92" t="str">
        <f t="shared" si="18"/>
        <v/>
      </c>
    </row>
    <row r="93" spans="1:30" x14ac:dyDescent="0.3">
      <c r="A93" s="23">
        <v>92</v>
      </c>
      <c r="B93" s="30"/>
      <c r="C93" s="30"/>
      <c r="D93" s="30"/>
      <c r="E93" s="24"/>
      <c r="F93" s="24"/>
      <c r="G93" s="34"/>
      <c r="H93" s="24"/>
      <c r="I93" s="23" t="str">
        <f t="shared" si="16"/>
        <v/>
      </c>
      <c r="J93" s="23" t="str">
        <f t="shared" si="17"/>
        <v/>
      </c>
      <c r="K93" s="23"/>
      <c r="L93" s="23"/>
      <c r="M93" s="23"/>
      <c r="N93" s="29"/>
      <c r="O93" s="29"/>
      <c r="P93" s="29"/>
      <c r="Q93" s="29"/>
      <c r="R93" s="29"/>
      <c r="S93" s="29"/>
      <c r="T93" s="29"/>
      <c r="U93" s="29"/>
      <c r="V93" s="29"/>
      <c r="W93" s="34"/>
      <c r="X93" s="29"/>
      <c r="Y93" s="29"/>
      <c r="Z93" s="29"/>
      <c r="AA93" s="29"/>
      <c r="AB93" s="29"/>
      <c r="AC93" s="29"/>
      <c r="AD93" t="str">
        <f t="shared" si="18"/>
        <v/>
      </c>
    </row>
    <row r="94" spans="1:30" x14ac:dyDescent="0.3">
      <c r="A94" s="23">
        <v>93</v>
      </c>
      <c r="B94" s="30"/>
      <c r="C94" s="30"/>
      <c r="D94" s="30"/>
      <c r="E94" s="24"/>
      <c r="F94" s="24"/>
      <c r="G94" s="34"/>
      <c r="H94" s="24"/>
      <c r="I94" s="23" t="str">
        <f t="shared" si="16"/>
        <v/>
      </c>
      <c r="J94" s="23" t="str">
        <f t="shared" si="17"/>
        <v/>
      </c>
      <c r="K94" s="23"/>
      <c r="L94" s="23"/>
      <c r="M94" s="23"/>
      <c r="N94" s="29"/>
      <c r="O94" s="29"/>
      <c r="P94" s="29"/>
      <c r="Q94" s="29"/>
      <c r="R94" s="29"/>
      <c r="S94" s="29"/>
      <c r="T94" s="29"/>
      <c r="U94" s="29"/>
      <c r="V94" s="29"/>
      <c r="W94" s="34"/>
      <c r="X94" s="29"/>
      <c r="Y94" s="29"/>
      <c r="Z94" s="29"/>
      <c r="AA94" s="29"/>
      <c r="AB94" s="29"/>
      <c r="AC94" s="29"/>
      <c r="AD94" t="str">
        <f t="shared" si="18"/>
        <v/>
      </c>
    </row>
    <row r="95" spans="1:30" x14ac:dyDescent="0.3">
      <c r="A95" s="23">
        <v>94</v>
      </c>
      <c r="B95" s="30"/>
      <c r="C95" s="30"/>
      <c r="D95" s="30"/>
      <c r="E95" s="24"/>
      <c r="F95" s="24"/>
      <c r="G95" s="34"/>
      <c r="H95" s="24"/>
      <c r="I95" s="23" t="str">
        <f t="shared" si="16"/>
        <v/>
      </c>
      <c r="J95" s="23" t="str">
        <f t="shared" si="17"/>
        <v/>
      </c>
      <c r="K95" s="23"/>
      <c r="L95" s="23"/>
      <c r="M95" s="23"/>
      <c r="N95" s="29"/>
      <c r="O95" s="29"/>
      <c r="P95" s="29"/>
      <c r="Q95" s="29"/>
      <c r="R95" s="29"/>
      <c r="S95" s="29"/>
      <c r="T95" s="29"/>
      <c r="U95" s="29"/>
      <c r="V95" s="29"/>
      <c r="W95" s="34"/>
      <c r="X95" s="29"/>
      <c r="Y95" s="29"/>
      <c r="Z95" s="29"/>
      <c r="AA95" s="29"/>
      <c r="AB95" s="29"/>
      <c r="AC95" s="29"/>
      <c r="AD95" t="str">
        <f t="shared" si="18"/>
        <v/>
      </c>
    </row>
    <row r="96" spans="1:30" x14ac:dyDescent="0.3">
      <c r="A96" s="23">
        <v>95</v>
      </c>
      <c r="B96" s="30"/>
      <c r="C96" s="30"/>
      <c r="D96" s="30"/>
      <c r="E96" s="24"/>
      <c r="F96" s="24"/>
      <c r="G96" s="34"/>
      <c r="H96" s="24"/>
      <c r="I96" s="23" t="str">
        <f t="shared" si="16"/>
        <v/>
      </c>
      <c r="J96" s="23" t="str">
        <f t="shared" si="17"/>
        <v/>
      </c>
      <c r="K96" s="23"/>
      <c r="L96" s="23"/>
      <c r="M96" s="23"/>
      <c r="N96" s="29"/>
      <c r="O96" s="29"/>
      <c r="P96" s="29"/>
      <c r="Q96" s="29"/>
      <c r="R96" s="29"/>
      <c r="S96" s="29"/>
      <c r="T96" s="29"/>
      <c r="U96" s="29"/>
      <c r="V96" s="29"/>
      <c r="W96" s="34"/>
      <c r="X96" s="29"/>
      <c r="Y96" s="29"/>
      <c r="Z96" s="29"/>
      <c r="AA96" s="29"/>
      <c r="AB96" s="29"/>
      <c r="AC96" s="29"/>
      <c r="AD96" t="str">
        <f t="shared" si="18"/>
        <v/>
      </c>
    </row>
    <row r="97" spans="1:30" x14ac:dyDescent="0.3">
      <c r="A97" s="23">
        <v>96</v>
      </c>
      <c r="B97" s="30"/>
      <c r="C97" s="30"/>
      <c r="D97" s="30"/>
      <c r="E97" s="24"/>
      <c r="F97" s="24"/>
      <c r="G97" s="34"/>
      <c r="H97" s="24"/>
      <c r="I97" s="23" t="str">
        <f t="shared" si="16"/>
        <v/>
      </c>
      <c r="J97" s="23" t="str">
        <f t="shared" si="17"/>
        <v/>
      </c>
      <c r="K97" s="23"/>
      <c r="L97" s="23"/>
      <c r="M97" s="23"/>
      <c r="N97" s="29"/>
      <c r="O97" s="29"/>
      <c r="P97" s="29"/>
      <c r="Q97" s="29"/>
      <c r="R97" s="29"/>
      <c r="S97" s="29"/>
      <c r="T97" s="29"/>
      <c r="U97" s="29"/>
      <c r="V97" s="29"/>
      <c r="W97" s="34"/>
      <c r="X97" s="29"/>
      <c r="Y97" s="29"/>
      <c r="Z97" s="29"/>
      <c r="AA97" s="29"/>
      <c r="AB97" s="29"/>
      <c r="AC97" s="29"/>
      <c r="AD97" t="str">
        <f t="shared" si="18"/>
        <v/>
      </c>
    </row>
    <row r="98" spans="1:30" x14ac:dyDescent="0.3">
      <c r="A98" s="23">
        <v>97</v>
      </c>
      <c r="B98" s="30"/>
      <c r="C98" s="30"/>
      <c r="D98" s="30"/>
      <c r="E98" s="24"/>
      <c r="F98" s="24"/>
      <c r="G98" s="34"/>
      <c r="H98" s="24"/>
      <c r="I98" s="23" t="str">
        <f t="shared" si="16"/>
        <v/>
      </c>
      <c r="J98" s="23" t="str">
        <f t="shared" si="17"/>
        <v/>
      </c>
      <c r="K98" s="23"/>
      <c r="L98" s="23"/>
      <c r="M98" s="23"/>
      <c r="N98" s="29"/>
      <c r="O98" s="29"/>
      <c r="P98" s="29"/>
      <c r="Q98" s="29"/>
      <c r="R98" s="29"/>
      <c r="S98" s="29"/>
      <c r="T98" s="29"/>
      <c r="U98" s="29"/>
      <c r="V98" s="29"/>
      <c r="W98" s="34"/>
      <c r="X98" s="29"/>
      <c r="Y98" s="29"/>
      <c r="Z98" s="29"/>
      <c r="AA98" s="29"/>
      <c r="AB98" s="29"/>
      <c r="AC98" s="29"/>
      <c r="AD98" t="str">
        <f t="shared" si="18"/>
        <v/>
      </c>
    </row>
    <row r="99" spans="1:30" x14ac:dyDescent="0.3">
      <c r="A99" s="23">
        <v>98</v>
      </c>
      <c r="B99" s="30"/>
      <c r="C99" s="30"/>
      <c r="D99" s="30"/>
      <c r="E99" s="24"/>
      <c r="F99" s="24"/>
      <c r="G99" s="34"/>
      <c r="H99" s="24"/>
      <c r="I99" s="23" t="str">
        <f t="shared" si="16"/>
        <v/>
      </c>
      <c r="J99" s="23" t="str">
        <f t="shared" si="17"/>
        <v/>
      </c>
      <c r="K99" s="23"/>
      <c r="L99" s="23"/>
      <c r="M99" s="23"/>
      <c r="N99" s="29"/>
      <c r="O99" s="29"/>
      <c r="P99" s="29"/>
      <c r="Q99" s="29"/>
      <c r="R99" s="29"/>
      <c r="S99" s="29"/>
      <c r="T99" s="29"/>
      <c r="U99" s="29"/>
      <c r="V99" s="29"/>
      <c r="W99" s="34"/>
      <c r="X99" s="29"/>
      <c r="Y99" s="29"/>
      <c r="Z99" s="29"/>
      <c r="AA99" s="29"/>
      <c r="AB99" s="29"/>
      <c r="AC99" s="29"/>
      <c r="AD99" t="str">
        <f t="shared" si="18"/>
        <v/>
      </c>
    </row>
    <row r="100" spans="1:30" x14ac:dyDescent="0.3">
      <c r="A100" s="23">
        <v>99</v>
      </c>
      <c r="B100" s="30"/>
      <c r="C100" s="30"/>
      <c r="D100" s="30"/>
      <c r="E100" s="24"/>
      <c r="F100" s="24"/>
      <c r="G100" s="34"/>
      <c r="H100" s="24"/>
      <c r="I100" s="23" t="str">
        <f t="shared" si="16"/>
        <v/>
      </c>
      <c r="J100" s="23" t="str">
        <f t="shared" si="17"/>
        <v/>
      </c>
      <c r="K100" s="23"/>
      <c r="L100" s="23"/>
      <c r="M100" s="23"/>
      <c r="N100" s="29"/>
      <c r="O100" s="29"/>
      <c r="P100" s="29"/>
      <c r="Q100" s="29"/>
      <c r="R100" s="29"/>
      <c r="S100" s="29"/>
      <c r="T100" s="29"/>
      <c r="U100" s="29"/>
      <c r="V100" s="29"/>
      <c r="W100" s="34"/>
      <c r="X100" s="29"/>
      <c r="Y100" s="29"/>
      <c r="Z100" s="29"/>
      <c r="AA100" s="29"/>
      <c r="AB100" s="29"/>
      <c r="AC100" s="29"/>
      <c r="AD100" t="str">
        <f t="shared" si="18"/>
        <v/>
      </c>
    </row>
    <row r="101" spans="1:30" x14ac:dyDescent="0.3">
      <c r="A101" s="23">
        <v>100</v>
      </c>
      <c r="B101" s="30"/>
      <c r="C101" s="30"/>
      <c r="D101" s="30"/>
      <c r="E101" s="24"/>
      <c r="F101" s="24"/>
      <c r="G101" s="34"/>
      <c r="H101" s="24"/>
      <c r="I101" s="23" t="str">
        <f t="shared" si="16"/>
        <v/>
      </c>
      <c r="J101" s="23" t="str">
        <f t="shared" si="17"/>
        <v/>
      </c>
      <c r="K101" s="23"/>
      <c r="L101" s="23"/>
      <c r="M101" s="23"/>
      <c r="N101" s="29"/>
      <c r="O101" s="29"/>
      <c r="P101" s="29"/>
      <c r="Q101" s="29"/>
      <c r="R101" s="29"/>
      <c r="S101" s="29"/>
      <c r="T101" s="29"/>
      <c r="U101" s="29"/>
      <c r="V101" s="29"/>
      <c r="W101" s="34"/>
      <c r="X101" s="29"/>
      <c r="Y101" s="29"/>
      <c r="Z101" s="29"/>
      <c r="AA101" s="29"/>
      <c r="AB101" s="29"/>
      <c r="AC101" s="29"/>
      <c r="AD101" t="str">
        <f t="shared" si="18"/>
        <v/>
      </c>
    </row>
    <row r="102" spans="1:30" x14ac:dyDescent="0.3">
      <c r="A102" s="23">
        <v>101</v>
      </c>
      <c r="B102" s="30"/>
      <c r="C102" s="30"/>
      <c r="D102" s="30"/>
      <c r="E102" s="24"/>
      <c r="F102" s="24"/>
      <c r="G102" s="34"/>
      <c r="H102" s="24"/>
      <c r="I102" s="23" t="str">
        <f t="shared" si="16"/>
        <v/>
      </c>
      <c r="J102" s="23" t="str">
        <f t="shared" si="17"/>
        <v/>
      </c>
      <c r="K102" s="23"/>
      <c r="L102" s="23"/>
      <c r="M102" s="23"/>
      <c r="N102" s="29"/>
      <c r="O102" s="29"/>
      <c r="P102" s="29"/>
      <c r="Q102" s="29"/>
      <c r="R102" s="29"/>
      <c r="S102" s="29"/>
      <c r="T102" s="29"/>
      <c r="U102" s="29"/>
      <c r="V102" s="29"/>
      <c r="W102" s="34"/>
      <c r="X102" s="29"/>
      <c r="Y102" s="29"/>
      <c r="Z102" s="29"/>
      <c r="AA102" s="29"/>
      <c r="AB102" s="29"/>
      <c r="AC102" s="29"/>
      <c r="AD102" t="str">
        <f t="shared" si="18"/>
        <v/>
      </c>
    </row>
    <row r="103" spans="1:30" x14ac:dyDescent="0.3">
      <c r="A103" s="23">
        <v>102</v>
      </c>
      <c r="B103" s="30"/>
      <c r="C103" s="30"/>
      <c r="D103" s="30"/>
      <c r="E103" s="24"/>
      <c r="F103" s="24"/>
      <c r="G103" s="34"/>
      <c r="H103" s="24"/>
      <c r="I103" s="23" t="str">
        <f t="shared" si="16"/>
        <v/>
      </c>
      <c r="J103" s="23" t="str">
        <f t="shared" si="17"/>
        <v/>
      </c>
      <c r="K103" s="23"/>
      <c r="L103" s="23"/>
      <c r="M103" s="23"/>
      <c r="N103" s="29"/>
      <c r="O103" s="29"/>
      <c r="P103" s="29"/>
      <c r="Q103" s="29"/>
      <c r="R103" s="29"/>
      <c r="S103" s="29"/>
      <c r="T103" s="29"/>
      <c r="U103" s="29"/>
      <c r="V103" s="29"/>
      <c r="W103" s="34"/>
      <c r="X103" s="29"/>
      <c r="Y103" s="29"/>
      <c r="Z103" s="29"/>
      <c r="AA103" s="29"/>
      <c r="AB103" s="29"/>
      <c r="AC103" s="29"/>
      <c r="AD103" t="str">
        <f t="shared" si="18"/>
        <v/>
      </c>
    </row>
    <row r="104" spans="1:30" x14ac:dyDescent="0.3">
      <c r="A104" s="23">
        <v>103</v>
      </c>
      <c r="B104" s="30"/>
      <c r="C104" s="30"/>
      <c r="D104" s="30"/>
      <c r="E104" s="24"/>
      <c r="F104" s="24"/>
      <c r="G104" s="34"/>
      <c r="H104" s="24"/>
      <c r="I104" s="23" t="str">
        <f t="shared" si="16"/>
        <v/>
      </c>
      <c r="J104" s="23" t="str">
        <f t="shared" si="17"/>
        <v/>
      </c>
      <c r="K104" s="23"/>
      <c r="L104" s="23"/>
      <c r="M104" s="23"/>
      <c r="N104" s="29"/>
      <c r="O104" s="29"/>
      <c r="P104" s="29"/>
      <c r="Q104" s="29"/>
      <c r="R104" s="29"/>
      <c r="S104" s="29"/>
      <c r="T104" s="29"/>
      <c r="U104" s="29"/>
      <c r="V104" s="29"/>
      <c r="W104" s="34"/>
      <c r="X104" s="29"/>
      <c r="Y104" s="29"/>
      <c r="Z104" s="29"/>
      <c r="AA104" s="29"/>
      <c r="AB104" s="29"/>
      <c r="AC104" s="29"/>
      <c r="AD104" t="str">
        <f t="shared" si="18"/>
        <v/>
      </c>
    </row>
    <row r="105" spans="1:30" x14ac:dyDescent="0.3">
      <c r="A105" s="23">
        <v>104</v>
      </c>
      <c r="B105" s="30"/>
      <c r="C105" s="30"/>
      <c r="D105" s="30"/>
      <c r="E105" s="24"/>
      <c r="F105" s="24"/>
      <c r="G105" s="34"/>
      <c r="H105" s="24"/>
      <c r="I105" s="23" t="str">
        <f t="shared" si="16"/>
        <v/>
      </c>
      <c r="J105" s="23" t="str">
        <f t="shared" si="17"/>
        <v/>
      </c>
      <c r="K105" s="23"/>
      <c r="L105" s="23"/>
      <c r="M105" s="23"/>
      <c r="N105" s="29"/>
      <c r="O105" s="29"/>
      <c r="P105" s="29"/>
      <c r="Q105" s="29"/>
      <c r="R105" s="29"/>
      <c r="S105" s="29"/>
      <c r="T105" s="29"/>
      <c r="U105" s="29"/>
      <c r="V105" s="29"/>
      <c r="W105" s="34"/>
      <c r="X105" s="29"/>
      <c r="Y105" s="29"/>
      <c r="Z105" s="29"/>
      <c r="AA105" s="29"/>
      <c r="AB105" s="29"/>
      <c r="AC105" s="29"/>
      <c r="AD105" t="str">
        <f t="shared" si="18"/>
        <v/>
      </c>
    </row>
    <row r="106" spans="1:30" x14ac:dyDescent="0.3">
      <c r="A106" s="23">
        <v>105</v>
      </c>
      <c r="B106" s="30"/>
      <c r="C106" s="30"/>
      <c r="D106" s="30"/>
      <c r="E106" s="24"/>
      <c r="F106" s="24"/>
      <c r="G106" s="34"/>
      <c r="H106" s="24"/>
      <c r="I106" s="23" t="str">
        <f t="shared" si="16"/>
        <v/>
      </c>
      <c r="J106" s="23" t="str">
        <f t="shared" si="17"/>
        <v/>
      </c>
      <c r="K106" s="23"/>
      <c r="L106" s="23"/>
      <c r="M106" s="23"/>
      <c r="N106" s="29"/>
      <c r="O106" s="29"/>
      <c r="P106" s="29"/>
      <c r="Q106" s="29"/>
      <c r="R106" s="29"/>
      <c r="S106" s="29"/>
      <c r="T106" s="29"/>
      <c r="U106" s="29"/>
      <c r="V106" s="29"/>
      <c r="W106" s="34"/>
      <c r="X106" s="29"/>
      <c r="Y106" s="29"/>
      <c r="Z106" s="29"/>
      <c r="AA106" s="29"/>
      <c r="AB106" s="29"/>
      <c r="AC106" s="29"/>
      <c r="AD106" t="str">
        <f t="shared" si="18"/>
        <v/>
      </c>
    </row>
    <row r="107" spans="1:30" x14ac:dyDescent="0.3">
      <c r="A107" s="23">
        <v>106</v>
      </c>
      <c r="B107" s="30"/>
      <c r="C107" s="30"/>
      <c r="D107" s="30"/>
      <c r="E107" s="24"/>
      <c r="F107" s="24"/>
      <c r="G107" s="34"/>
      <c r="H107" s="24"/>
      <c r="I107" s="23" t="str">
        <f t="shared" si="16"/>
        <v/>
      </c>
      <c r="J107" s="23" t="str">
        <f t="shared" si="17"/>
        <v/>
      </c>
      <c r="K107" s="23"/>
      <c r="L107" s="23"/>
      <c r="M107" s="23"/>
      <c r="N107" s="29"/>
      <c r="O107" s="29"/>
      <c r="P107" s="29"/>
      <c r="Q107" s="29"/>
      <c r="R107" s="29"/>
      <c r="S107" s="29"/>
      <c r="T107" s="29"/>
      <c r="U107" s="29"/>
      <c r="V107" s="29"/>
      <c r="W107" s="34"/>
      <c r="X107" s="29"/>
      <c r="Y107" s="29"/>
      <c r="Z107" s="29"/>
      <c r="AA107" s="29"/>
      <c r="AB107" s="29"/>
      <c r="AC107" s="29"/>
      <c r="AD107" t="str">
        <f t="shared" si="18"/>
        <v/>
      </c>
    </row>
    <row r="108" spans="1:30" x14ac:dyDescent="0.3">
      <c r="A108" s="23">
        <v>107</v>
      </c>
      <c r="B108" s="30"/>
      <c r="C108" s="30"/>
      <c r="D108" s="30"/>
      <c r="E108" s="24"/>
      <c r="F108" s="24"/>
      <c r="G108" s="34"/>
      <c r="H108" s="24"/>
      <c r="I108" s="23" t="str">
        <f t="shared" si="16"/>
        <v/>
      </c>
      <c r="J108" s="23" t="str">
        <f t="shared" si="17"/>
        <v/>
      </c>
      <c r="K108" s="23"/>
      <c r="L108" s="23"/>
      <c r="M108" s="23"/>
      <c r="N108" s="29"/>
      <c r="O108" s="29"/>
      <c r="P108" s="29"/>
      <c r="Q108" s="29"/>
      <c r="R108" s="29"/>
      <c r="S108" s="29"/>
      <c r="T108" s="29"/>
      <c r="U108" s="29"/>
      <c r="V108" s="29"/>
      <c r="W108" s="34"/>
      <c r="X108" s="29"/>
      <c r="Y108" s="29"/>
      <c r="Z108" s="29"/>
      <c r="AA108" s="29"/>
      <c r="AB108" s="29"/>
      <c r="AC108" s="29"/>
      <c r="AD108" t="str">
        <f t="shared" si="18"/>
        <v/>
      </c>
    </row>
    <row r="109" spans="1:30" x14ac:dyDescent="0.3">
      <c r="A109" s="23">
        <v>108</v>
      </c>
      <c r="B109" s="30"/>
      <c r="C109" s="30"/>
      <c r="D109" s="30"/>
      <c r="E109" s="24"/>
      <c r="F109" s="24"/>
      <c r="G109" s="34"/>
      <c r="H109" s="24"/>
      <c r="I109" s="23" t="str">
        <f t="shared" si="16"/>
        <v/>
      </c>
      <c r="J109" s="23" t="str">
        <f t="shared" si="17"/>
        <v/>
      </c>
      <c r="K109" s="23"/>
      <c r="L109" s="23"/>
      <c r="M109" s="23"/>
      <c r="N109" s="29"/>
      <c r="O109" s="29"/>
      <c r="P109" s="29"/>
      <c r="Q109" s="29"/>
      <c r="R109" s="29"/>
      <c r="S109" s="29"/>
      <c r="T109" s="29"/>
      <c r="U109" s="29"/>
      <c r="V109" s="29"/>
      <c r="W109" s="34"/>
      <c r="X109" s="29"/>
      <c r="Y109" s="29"/>
      <c r="Z109" s="29"/>
      <c r="AA109" s="29"/>
      <c r="AB109" s="29"/>
      <c r="AC109" s="29"/>
      <c r="AD109" t="str">
        <f t="shared" si="18"/>
        <v/>
      </c>
    </row>
    <row r="110" spans="1:30" x14ac:dyDescent="0.3">
      <c r="A110" s="23">
        <v>109</v>
      </c>
      <c r="B110" s="30"/>
      <c r="C110" s="30"/>
      <c r="D110" s="30"/>
      <c r="E110" s="24"/>
      <c r="F110" s="24"/>
      <c r="G110" s="34"/>
      <c r="H110" s="24"/>
      <c r="I110" s="23" t="str">
        <f t="shared" si="16"/>
        <v/>
      </c>
      <c r="J110" s="23" t="str">
        <f t="shared" si="17"/>
        <v/>
      </c>
      <c r="K110" s="23"/>
      <c r="L110" s="23"/>
      <c r="M110" s="23"/>
      <c r="N110" s="29"/>
      <c r="O110" s="29"/>
      <c r="P110" s="29"/>
      <c r="Q110" s="29"/>
      <c r="R110" s="29"/>
      <c r="S110" s="29"/>
      <c r="T110" s="29"/>
      <c r="U110" s="29"/>
      <c r="V110" s="29"/>
      <c r="W110" s="34"/>
      <c r="X110" s="29"/>
      <c r="Y110" s="29"/>
      <c r="Z110" s="29"/>
      <c r="AA110" s="29"/>
      <c r="AB110" s="29"/>
      <c r="AC110" s="29"/>
      <c r="AD110" t="str">
        <f t="shared" si="18"/>
        <v/>
      </c>
    </row>
    <row r="111" spans="1:30" x14ac:dyDescent="0.3">
      <c r="A111" s="23">
        <v>110</v>
      </c>
      <c r="B111" s="30"/>
      <c r="C111" s="30"/>
      <c r="D111" s="30"/>
      <c r="E111" s="24"/>
      <c r="F111" s="24"/>
      <c r="G111" s="34"/>
      <c r="H111" s="24"/>
      <c r="I111" s="23" t="str">
        <f t="shared" si="16"/>
        <v/>
      </c>
      <c r="J111" s="23" t="str">
        <f t="shared" si="17"/>
        <v/>
      </c>
      <c r="K111" s="23"/>
      <c r="L111" s="23"/>
      <c r="M111" s="23"/>
      <c r="N111" s="29"/>
      <c r="O111" s="29"/>
      <c r="P111" s="29"/>
      <c r="Q111" s="29"/>
      <c r="R111" s="29"/>
      <c r="S111" s="29"/>
      <c r="T111" s="29"/>
      <c r="U111" s="29"/>
      <c r="V111" s="29"/>
      <c r="W111" s="34"/>
      <c r="X111" s="29"/>
      <c r="Y111" s="29"/>
      <c r="Z111" s="29"/>
      <c r="AA111" s="29"/>
      <c r="AB111" s="29"/>
      <c r="AC111" s="29"/>
      <c r="AD111" t="str">
        <f t="shared" si="18"/>
        <v/>
      </c>
    </row>
    <row r="112" spans="1:30" x14ac:dyDescent="0.3">
      <c r="A112" s="23">
        <v>111</v>
      </c>
      <c r="B112" s="30"/>
      <c r="C112" s="30"/>
      <c r="D112" s="30"/>
      <c r="E112" s="24"/>
      <c r="F112" s="24"/>
      <c r="G112" s="34"/>
      <c r="H112" s="24"/>
      <c r="I112" s="23" t="str">
        <f t="shared" si="16"/>
        <v/>
      </c>
      <c r="J112" s="23" t="str">
        <f t="shared" si="17"/>
        <v/>
      </c>
      <c r="K112" s="23"/>
      <c r="L112" s="23"/>
      <c r="M112" s="23"/>
      <c r="N112" s="29"/>
      <c r="O112" s="29"/>
      <c r="P112" s="29"/>
      <c r="Q112" s="29"/>
      <c r="R112" s="29"/>
      <c r="S112" s="29"/>
      <c r="T112" s="29"/>
      <c r="U112" s="29"/>
      <c r="V112" s="29"/>
      <c r="W112" s="34"/>
      <c r="X112" s="29"/>
      <c r="Y112" s="29"/>
      <c r="Z112" s="29"/>
      <c r="AA112" s="29"/>
      <c r="AB112" s="29"/>
      <c r="AC112" s="29"/>
      <c r="AD112" t="str">
        <f t="shared" si="18"/>
        <v/>
      </c>
    </row>
    <row r="113" spans="1:30" x14ac:dyDescent="0.3">
      <c r="A113" s="23">
        <v>112</v>
      </c>
      <c r="B113" s="30"/>
      <c r="C113" s="30"/>
      <c r="D113" s="30"/>
      <c r="E113" s="24"/>
      <c r="F113" s="24"/>
      <c r="G113" s="34"/>
      <c r="H113" s="24"/>
      <c r="I113" s="23" t="str">
        <f t="shared" si="16"/>
        <v/>
      </c>
      <c r="J113" s="23" t="str">
        <f t="shared" si="17"/>
        <v/>
      </c>
      <c r="K113" s="23"/>
      <c r="L113" s="23"/>
      <c r="M113" s="23"/>
      <c r="N113" s="29"/>
      <c r="O113" s="29"/>
      <c r="P113" s="29"/>
      <c r="Q113" s="29"/>
      <c r="R113" s="29"/>
      <c r="S113" s="29"/>
      <c r="T113" s="29"/>
      <c r="U113" s="29"/>
      <c r="V113" s="29"/>
      <c r="W113" s="34"/>
      <c r="X113" s="29"/>
      <c r="Y113" s="29"/>
      <c r="Z113" s="29"/>
      <c r="AA113" s="29"/>
      <c r="AB113" s="29"/>
      <c r="AC113" s="29"/>
      <c r="AD113" t="str">
        <f t="shared" si="18"/>
        <v/>
      </c>
    </row>
    <row r="114" spans="1:30" x14ac:dyDescent="0.3">
      <c r="A114" s="23">
        <v>113</v>
      </c>
      <c r="B114" s="30"/>
      <c r="C114" s="30"/>
      <c r="D114" s="30"/>
      <c r="E114" s="24"/>
      <c r="F114" s="24"/>
      <c r="G114" s="34"/>
      <c r="H114" s="24"/>
      <c r="I114" s="23" t="str">
        <f t="shared" si="16"/>
        <v/>
      </c>
      <c r="J114" s="23" t="str">
        <f t="shared" si="17"/>
        <v/>
      </c>
      <c r="K114" s="23"/>
      <c r="L114" s="23"/>
      <c r="M114" s="23"/>
      <c r="N114" s="29"/>
      <c r="O114" s="29"/>
      <c r="P114" s="29"/>
      <c r="Q114" s="29"/>
      <c r="R114" s="29"/>
      <c r="S114" s="29"/>
      <c r="T114" s="29"/>
      <c r="U114" s="29"/>
      <c r="V114" s="29"/>
      <c r="W114" s="34"/>
      <c r="X114" s="29"/>
      <c r="Y114" s="29"/>
      <c r="Z114" s="29"/>
      <c r="AA114" s="29"/>
      <c r="AB114" s="29"/>
      <c r="AC114" s="29"/>
      <c r="AD114" t="str">
        <f t="shared" si="18"/>
        <v/>
      </c>
    </row>
    <row r="115" spans="1:30" x14ac:dyDescent="0.3">
      <c r="A115" s="23">
        <v>114</v>
      </c>
      <c r="B115" s="30"/>
      <c r="C115" s="30"/>
      <c r="D115" s="30"/>
      <c r="E115" s="24"/>
      <c r="F115" s="24"/>
      <c r="G115" s="34"/>
      <c r="H115" s="24"/>
      <c r="I115" s="23" t="str">
        <f t="shared" si="16"/>
        <v/>
      </c>
      <c r="J115" s="23" t="str">
        <f t="shared" si="17"/>
        <v/>
      </c>
      <c r="K115" s="23"/>
      <c r="L115" s="23"/>
      <c r="M115" s="23"/>
      <c r="N115" s="29"/>
      <c r="O115" s="29"/>
      <c r="P115" s="29"/>
      <c r="Q115" s="29"/>
      <c r="R115" s="29"/>
      <c r="S115" s="29"/>
      <c r="T115" s="29"/>
      <c r="U115" s="29"/>
      <c r="V115" s="29"/>
      <c r="W115" s="34"/>
      <c r="X115" s="29"/>
      <c r="Y115" s="29"/>
      <c r="Z115" s="29"/>
      <c r="AA115" s="29"/>
      <c r="AB115" s="29"/>
      <c r="AC115" s="29"/>
      <c r="AD115" t="str">
        <f t="shared" si="18"/>
        <v/>
      </c>
    </row>
    <row r="116" spans="1:30" x14ac:dyDescent="0.3">
      <c r="A116" s="23">
        <v>115</v>
      </c>
      <c r="B116" s="30"/>
      <c r="C116" s="30"/>
      <c r="D116" s="30"/>
      <c r="E116" s="24"/>
      <c r="F116" s="24"/>
      <c r="G116" s="34"/>
      <c r="H116" s="24"/>
      <c r="I116" s="23" t="str">
        <f t="shared" si="16"/>
        <v/>
      </c>
      <c r="J116" s="23" t="str">
        <f t="shared" si="17"/>
        <v/>
      </c>
      <c r="K116" s="23"/>
      <c r="L116" s="23"/>
      <c r="M116" s="23"/>
      <c r="N116" s="29"/>
      <c r="O116" s="29"/>
      <c r="P116" s="29"/>
      <c r="Q116" s="29"/>
      <c r="R116" s="29"/>
      <c r="S116" s="29"/>
      <c r="T116" s="29"/>
      <c r="U116" s="29"/>
      <c r="V116" s="29"/>
      <c r="W116" s="34"/>
      <c r="X116" s="29"/>
      <c r="Y116" s="29"/>
      <c r="Z116" s="29"/>
      <c r="AA116" s="29"/>
      <c r="AB116" s="29"/>
      <c r="AC116" s="29"/>
      <c r="AD116" t="str">
        <f t="shared" si="18"/>
        <v/>
      </c>
    </row>
    <row r="117" spans="1:30" x14ac:dyDescent="0.3">
      <c r="A117" s="23">
        <v>116</v>
      </c>
      <c r="B117" s="30"/>
      <c r="C117" s="30"/>
      <c r="D117" s="30"/>
      <c r="E117" s="24"/>
      <c r="F117" s="24"/>
      <c r="G117" s="34"/>
      <c r="H117" s="24"/>
      <c r="I117" s="23" t="str">
        <f t="shared" si="16"/>
        <v/>
      </c>
      <c r="J117" s="23" t="str">
        <f t="shared" si="17"/>
        <v/>
      </c>
      <c r="K117" s="23"/>
      <c r="L117" s="23"/>
      <c r="M117" s="23"/>
      <c r="N117" s="29"/>
      <c r="O117" s="29"/>
      <c r="P117" s="29"/>
      <c r="Q117" s="29"/>
      <c r="R117" s="29"/>
      <c r="S117" s="29"/>
      <c r="T117" s="29"/>
      <c r="U117" s="29"/>
      <c r="V117" s="29"/>
      <c r="W117" s="34"/>
      <c r="X117" s="29"/>
      <c r="Y117" s="29"/>
      <c r="Z117" s="29"/>
      <c r="AA117" s="29"/>
      <c r="AB117" s="29"/>
      <c r="AC117" s="29"/>
      <c r="AD117" t="str">
        <f t="shared" si="18"/>
        <v/>
      </c>
    </row>
    <row r="118" spans="1:30" x14ac:dyDescent="0.3">
      <c r="A118" s="23">
        <v>117</v>
      </c>
      <c r="B118" s="30"/>
      <c r="C118" s="30"/>
      <c r="D118" s="30"/>
      <c r="E118" s="24"/>
      <c r="F118" s="24"/>
      <c r="G118" s="34"/>
      <c r="H118" s="24"/>
      <c r="I118" s="23" t="str">
        <f t="shared" si="16"/>
        <v/>
      </c>
      <c r="J118" s="23" t="str">
        <f t="shared" si="17"/>
        <v/>
      </c>
      <c r="K118" s="23"/>
      <c r="L118" s="23"/>
      <c r="M118" s="23"/>
      <c r="N118" s="29"/>
      <c r="O118" s="29"/>
      <c r="P118" s="29"/>
      <c r="Q118" s="29"/>
      <c r="R118" s="29"/>
      <c r="S118" s="29"/>
      <c r="T118" s="29"/>
      <c r="U118" s="29"/>
      <c r="V118" s="29"/>
      <c r="W118" s="34"/>
      <c r="X118" s="29"/>
      <c r="Y118" s="29"/>
      <c r="Z118" s="29"/>
      <c r="AA118" s="29"/>
      <c r="AB118" s="29"/>
      <c r="AC118" s="29"/>
      <c r="AD118" t="str">
        <f t="shared" si="18"/>
        <v/>
      </c>
    </row>
    <row r="119" spans="1:30" x14ac:dyDescent="0.3">
      <c r="A119" s="23">
        <v>118</v>
      </c>
      <c r="B119" s="30"/>
      <c r="C119" s="30"/>
      <c r="D119" s="30"/>
      <c r="E119" s="24"/>
      <c r="F119" s="24"/>
      <c r="G119" s="34"/>
      <c r="H119" s="24"/>
      <c r="I119" s="23" t="str">
        <f t="shared" si="16"/>
        <v/>
      </c>
      <c r="J119" s="23" t="str">
        <f t="shared" si="17"/>
        <v/>
      </c>
      <c r="K119" s="23"/>
      <c r="L119" s="23"/>
      <c r="M119" s="23"/>
      <c r="N119" s="29"/>
      <c r="O119" s="29"/>
      <c r="P119" s="29"/>
      <c r="Q119" s="29"/>
      <c r="R119" s="29"/>
      <c r="S119" s="29"/>
      <c r="T119" s="29"/>
      <c r="U119" s="29"/>
      <c r="V119" s="29"/>
      <c r="W119" s="34"/>
      <c r="X119" s="29"/>
      <c r="Y119" s="29"/>
      <c r="Z119" s="29"/>
      <c r="AA119" s="29"/>
      <c r="AB119" s="29"/>
      <c r="AC119" s="29"/>
      <c r="AD119" t="str">
        <f t="shared" si="18"/>
        <v/>
      </c>
    </row>
    <row r="120" spans="1:30" x14ac:dyDescent="0.3">
      <c r="A120" s="23">
        <v>119</v>
      </c>
      <c r="B120" s="30"/>
      <c r="C120" s="30"/>
      <c r="D120" s="30"/>
      <c r="E120" s="24"/>
      <c r="F120" s="24"/>
      <c r="G120" s="34"/>
      <c r="H120" s="24"/>
      <c r="I120" s="23" t="str">
        <f t="shared" si="16"/>
        <v/>
      </c>
      <c r="J120" s="23" t="str">
        <f t="shared" si="17"/>
        <v/>
      </c>
      <c r="K120" s="23"/>
      <c r="L120" s="23"/>
      <c r="M120" s="23"/>
      <c r="N120" s="29"/>
      <c r="O120" s="29"/>
      <c r="P120" s="29"/>
      <c r="Q120" s="29"/>
      <c r="R120" s="29"/>
      <c r="S120" s="29"/>
      <c r="T120" s="29"/>
      <c r="U120" s="29"/>
      <c r="V120" s="29"/>
      <c r="W120" s="34"/>
      <c r="X120" s="29"/>
      <c r="Y120" s="29"/>
      <c r="Z120" s="29"/>
      <c r="AA120" s="29"/>
      <c r="AB120" s="29"/>
      <c r="AC120" s="29"/>
      <c r="AD120" t="str">
        <f t="shared" si="18"/>
        <v/>
      </c>
    </row>
    <row r="121" spans="1:30" x14ac:dyDescent="0.3">
      <c r="A121" s="23">
        <v>120</v>
      </c>
      <c r="B121" s="30"/>
      <c r="C121" s="30"/>
      <c r="D121" s="30"/>
      <c r="E121" s="24"/>
      <c r="F121" s="24"/>
      <c r="G121" s="34"/>
      <c r="H121" s="24"/>
      <c r="I121" s="23" t="str">
        <f t="shared" si="16"/>
        <v/>
      </c>
      <c r="J121" s="23" t="str">
        <f t="shared" si="17"/>
        <v/>
      </c>
      <c r="K121" s="23"/>
      <c r="L121" s="23"/>
      <c r="M121" s="23"/>
      <c r="N121" s="29"/>
      <c r="O121" s="29"/>
      <c r="P121" s="29"/>
      <c r="Q121" s="29"/>
      <c r="R121" s="29"/>
      <c r="S121" s="29"/>
      <c r="T121" s="29"/>
      <c r="U121" s="29"/>
      <c r="V121" s="29"/>
      <c r="W121" s="34"/>
      <c r="X121" s="29"/>
      <c r="Y121" s="29"/>
      <c r="Z121" s="29"/>
      <c r="AA121" s="29"/>
      <c r="AB121" s="29"/>
      <c r="AC121" s="29"/>
      <c r="AD121" t="str">
        <f t="shared" si="18"/>
        <v/>
      </c>
    </row>
    <row r="122" spans="1:30" x14ac:dyDescent="0.3">
      <c r="A122" s="23">
        <v>121</v>
      </c>
      <c r="B122" s="30"/>
      <c r="C122" s="30"/>
      <c r="D122" s="30"/>
      <c r="E122" s="24"/>
      <c r="F122" s="24"/>
      <c r="G122" s="34"/>
      <c r="H122" s="24"/>
      <c r="I122" s="23" t="str">
        <f t="shared" si="16"/>
        <v/>
      </c>
      <c r="J122" s="23" t="str">
        <f t="shared" si="17"/>
        <v/>
      </c>
      <c r="K122" s="23"/>
      <c r="L122" s="23"/>
      <c r="M122" s="23"/>
      <c r="N122" s="29"/>
      <c r="O122" s="29"/>
      <c r="P122" s="29"/>
      <c r="Q122" s="29"/>
      <c r="R122" s="29"/>
      <c r="S122" s="29"/>
      <c r="T122" s="29"/>
      <c r="U122" s="29"/>
      <c r="V122" s="29"/>
      <c r="W122" s="34"/>
      <c r="X122" s="29"/>
      <c r="Y122" s="29"/>
      <c r="Z122" s="29"/>
      <c r="AA122" s="29"/>
      <c r="AB122" s="29"/>
      <c r="AC122" s="29"/>
      <c r="AD122" t="str">
        <f t="shared" si="18"/>
        <v/>
      </c>
    </row>
    <row r="123" spans="1:30" x14ac:dyDescent="0.3">
      <c r="A123" s="23">
        <v>122</v>
      </c>
      <c r="B123" s="30"/>
      <c r="C123" s="30"/>
      <c r="D123" s="30"/>
      <c r="E123" s="24"/>
      <c r="F123" s="24"/>
      <c r="G123" s="34"/>
      <c r="H123" s="24"/>
      <c r="I123" s="23" t="str">
        <f t="shared" si="16"/>
        <v/>
      </c>
      <c r="J123" s="23" t="str">
        <f t="shared" si="17"/>
        <v/>
      </c>
      <c r="K123" s="23"/>
      <c r="L123" s="23"/>
      <c r="M123" s="23"/>
      <c r="N123" s="29"/>
      <c r="O123" s="29"/>
      <c r="P123" s="29"/>
      <c r="Q123" s="29"/>
      <c r="R123" s="29"/>
      <c r="S123" s="29"/>
      <c r="T123" s="29"/>
      <c r="U123" s="29"/>
      <c r="V123" s="29"/>
      <c r="W123" s="34"/>
      <c r="X123" s="29"/>
      <c r="Y123" s="29"/>
      <c r="Z123" s="29"/>
      <c r="AA123" s="29"/>
      <c r="AB123" s="29"/>
      <c r="AC123" s="29"/>
      <c r="AD123" t="str">
        <f t="shared" si="18"/>
        <v/>
      </c>
    </row>
    <row r="124" spans="1:30" x14ac:dyDescent="0.3">
      <c r="A124" s="23">
        <v>123</v>
      </c>
      <c r="B124" s="30"/>
      <c r="C124" s="30"/>
      <c r="D124" s="30"/>
      <c r="E124" s="24"/>
      <c r="F124" s="24"/>
      <c r="G124" s="34"/>
      <c r="H124" s="24"/>
      <c r="I124" s="23" t="str">
        <f t="shared" si="16"/>
        <v/>
      </c>
      <c r="J124" s="23" t="str">
        <f t="shared" si="17"/>
        <v/>
      </c>
      <c r="K124" s="23"/>
      <c r="L124" s="23"/>
      <c r="M124" s="23"/>
      <c r="N124" s="29"/>
      <c r="O124" s="29"/>
      <c r="P124" s="29"/>
      <c r="Q124" s="29"/>
      <c r="R124" s="29"/>
      <c r="S124" s="29"/>
      <c r="T124" s="29"/>
      <c r="U124" s="29"/>
      <c r="V124" s="29"/>
      <c r="W124" s="34"/>
      <c r="X124" s="29"/>
      <c r="Y124" s="29"/>
      <c r="Z124" s="29"/>
      <c r="AA124" s="29"/>
      <c r="AB124" s="29"/>
      <c r="AC124" s="29"/>
      <c r="AD124" t="str">
        <f t="shared" si="18"/>
        <v/>
      </c>
    </row>
    <row r="125" spans="1:30" x14ac:dyDescent="0.3">
      <c r="A125" s="23">
        <v>124</v>
      </c>
      <c r="B125" s="30"/>
      <c r="C125" s="30"/>
      <c r="D125" s="30"/>
      <c r="E125" s="24"/>
      <c r="F125" s="24"/>
      <c r="G125" s="34"/>
      <c r="H125" s="24"/>
      <c r="I125" s="23" t="str">
        <f t="shared" si="16"/>
        <v/>
      </c>
      <c r="J125" s="23" t="str">
        <f t="shared" si="17"/>
        <v/>
      </c>
      <c r="K125" s="23"/>
      <c r="L125" s="23"/>
      <c r="M125" s="23"/>
      <c r="N125" s="29"/>
      <c r="O125" s="29"/>
      <c r="P125" s="29"/>
      <c r="Q125" s="29"/>
      <c r="R125" s="29"/>
      <c r="S125" s="29"/>
      <c r="T125" s="29"/>
      <c r="U125" s="29"/>
      <c r="V125" s="29"/>
      <c r="W125" s="34"/>
      <c r="X125" s="29"/>
      <c r="Y125" s="29"/>
      <c r="Z125" s="29"/>
      <c r="AA125" s="29"/>
      <c r="AB125" s="29"/>
      <c r="AC125" s="29"/>
      <c r="AD125" t="str">
        <f t="shared" si="18"/>
        <v/>
      </c>
    </row>
    <row r="126" spans="1:30" x14ac:dyDescent="0.3">
      <c r="A126" s="23">
        <v>125</v>
      </c>
      <c r="B126" s="30"/>
      <c r="C126" s="30"/>
      <c r="D126" s="30"/>
      <c r="E126" s="24"/>
      <c r="F126" s="24"/>
      <c r="G126" s="34"/>
      <c r="H126" s="24"/>
      <c r="I126" s="23" t="str">
        <f t="shared" si="16"/>
        <v/>
      </c>
      <c r="J126" s="23" t="str">
        <f t="shared" si="17"/>
        <v/>
      </c>
      <c r="K126" s="23"/>
      <c r="L126" s="23"/>
      <c r="M126" s="23"/>
      <c r="N126" s="29"/>
      <c r="O126" s="29"/>
      <c r="P126" s="29"/>
      <c r="Q126" s="29"/>
      <c r="R126" s="29"/>
      <c r="S126" s="29"/>
      <c r="T126" s="29"/>
      <c r="U126" s="29"/>
      <c r="V126" s="29"/>
      <c r="W126" s="34"/>
      <c r="X126" s="29"/>
      <c r="Y126" s="29"/>
      <c r="Z126" s="29"/>
      <c r="AA126" s="29"/>
      <c r="AB126" s="29"/>
      <c r="AC126" s="29"/>
      <c r="AD126" t="str">
        <f t="shared" si="18"/>
        <v/>
      </c>
    </row>
    <row r="127" spans="1:30" x14ac:dyDescent="0.3">
      <c r="A127" s="23">
        <v>126</v>
      </c>
      <c r="B127" s="30"/>
      <c r="C127" s="30"/>
      <c r="D127" s="30"/>
      <c r="E127" s="24"/>
      <c r="F127" s="24"/>
      <c r="G127" s="34"/>
      <c r="H127" s="24"/>
      <c r="I127" s="23" t="str">
        <f t="shared" si="16"/>
        <v/>
      </c>
      <c r="J127" s="23" t="str">
        <f t="shared" si="17"/>
        <v/>
      </c>
      <c r="K127" s="23"/>
      <c r="L127" s="23"/>
      <c r="M127" s="23"/>
      <c r="N127" s="29"/>
      <c r="O127" s="29"/>
      <c r="P127" s="29"/>
      <c r="Q127" s="29"/>
      <c r="R127" s="29"/>
      <c r="S127" s="29"/>
      <c r="T127" s="29"/>
      <c r="U127" s="29"/>
      <c r="V127" s="29"/>
      <c r="W127" s="34"/>
      <c r="X127" s="29"/>
      <c r="Y127" s="29"/>
      <c r="Z127" s="29"/>
      <c r="AA127" s="29"/>
      <c r="AB127" s="29"/>
      <c r="AC127" s="29"/>
      <c r="AD127" t="str">
        <f t="shared" si="18"/>
        <v/>
      </c>
    </row>
    <row r="128" spans="1:30" x14ac:dyDescent="0.3">
      <c r="A128" s="23">
        <v>127</v>
      </c>
      <c r="B128" s="30"/>
      <c r="C128" s="30"/>
      <c r="D128" s="30"/>
      <c r="E128" s="24"/>
      <c r="F128" s="24"/>
      <c r="G128" s="34"/>
      <c r="H128" s="24"/>
      <c r="I128" s="23" t="str">
        <f t="shared" si="16"/>
        <v/>
      </c>
      <c r="J128" s="23" t="str">
        <f t="shared" si="17"/>
        <v/>
      </c>
      <c r="K128" s="23"/>
      <c r="L128" s="23"/>
      <c r="M128" s="23"/>
      <c r="N128" s="29"/>
      <c r="O128" s="29"/>
      <c r="P128" s="29"/>
      <c r="Q128" s="29"/>
      <c r="R128" s="29"/>
      <c r="S128" s="29"/>
      <c r="T128" s="29"/>
      <c r="U128" s="29"/>
      <c r="V128" s="29"/>
      <c r="W128" s="34"/>
      <c r="X128" s="29"/>
      <c r="Y128" s="29"/>
      <c r="Z128" s="29"/>
      <c r="AA128" s="29"/>
      <c r="AB128" s="29"/>
      <c r="AC128" s="29"/>
      <c r="AD128" t="str">
        <f t="shared" si="18"/>
        <v/>
      </c>
    </row>
    <row r="129" spans="1:30" x14ac:dyDescent="0.3">
      <c r="A129" s="23">
        <v>128</v>
      </c>
      <c r="B129" s="30"/>
      <c r="C129" s="30"/>
      <c r="D129" s="30"/>
      <c r="E129" s="24"/>
      <c r="F129" s="24"/>
      <c r="G129" s="34"/>
      <c r="H129" s="24"/>
      <c r="I129" s="23" t="str">
        <f t="shared" si="16"/>
        <v/>
      </c>
      <c r="J129" s="23" t="str">
        <f t="shared" si="17"/>
        <v/>
      </c>
      <c r="K129" s="23"/>
      <c r="L129" s="23"/>
      <c r="M129" s="23"/>
      <c r="N129" s="29"/>
      <c r="O129" s="29"/>
      <c r="P129" s="29"/>
      <c r="Q129" s="29"/>
      <c r="R129" s="29"/>
      <c r="S129" s="29"/>
      <c r="T129" s="29"/>
      <c r="U129" s="29"/>
      <c r="V129" s="29"/>
      <c r="W129" s="34"/>
      <c r="X129" s="29"/>
      <c r="Y129" s="29"/>
      <c r="Z129" s="29"/>
      <c r="AA129" s="29"/>
      <c r="AB129" s="29"/>
      <c r="AC129" s="29"/>
      <c r="AD129" t="str">
        <f t="shared" si="18"/>
        <v/>
      </c>
    </row>
    <row r="130" spans="1:30" x14ac:dyDescent="0.3">
      <c r="A130" s="23">
        <v>129</v>
      </c>
      <c r="B130" s="30"/>
      <c r="C130" s="30"/>
      <c r="D130" s="30"/>
      <c r="E130" s="24"/>
      <c r="F130" s="24"/>
      <c r="G130" s="34"/>
      <c r="H130" s="24"/>
      <c r="I130" s="23" t="str">
        <f t="shared" ref="I130:I193" si="19">IF($H130="","",IF(UPPER(TRIM($H130))="YES","YES",IF($N130&gt;=BASIC_CAP,"NO","YES")))</f>
        <v/>
      </c>
      <c r="J130" s="23" t="str">
        <f t="shared" ref="J130:J193" si="20">IF($G130="","",IF($G130&lt;=ESIC_LIMIT,"YES","NO"))</f>
        <v/>
      </c>
      <c r="K130" s="23"/>
      <c r="L130" s="23"/>
      <c r="M130" s="23"/>
      <c r="N130" s="29"/>
      <c r="O130" s="29"/>
      <c r="P130" s="29"/>
      <c r="Q130" s="29"/>
      <c r="R130" s="29"/>
      <c r="S130" s="29"/>
      <c r="T130" s="29"/>
      <c r="U130" s="29"/>
      <c r="V130" s="29"/>
      <c r="W130" s="34"/>
      <c r="X130" s="29"/>
      <c r="Y130" s="29"/>
      <c r="Z130" s="29"/>
      <c r="AA130" s="29"/>
      <c r="AB130" s="29"/>
      <c r="AC130" s="29"/>
      <c r="AD130" t="str">
        <f t="shared" ref="AD130:AD193" si="21">IF(G130="","",IF(G130&lt;F130,"⚠ Gross &lt; Minimum Wage",""))</f>
        <v/>
      </c>
    </row>
    <row r="131" spans="1:30" x14ac:dyDescent="0.3">
      <c r="A131" s="23">
        <v>130</v>
      </c>
      <c r="B131" s="30"/>
      <c r="C131" s="30"/>
      <c r="D131" s="30"/>
      <c r="E131" s="24"/>
      <c r="F131" s="24"/>
      <c r="G131" s="34"/>
      <c r="H131" s="24"/>
      <c r="I131" s="23" t="str">
        <f t="shared" si="19"/>
        <v/>
      </c>
      <c r="J131" s="23" t="str">
        <f t="shared" si="20"/>
        <v/>
      </c>
      <c r="K131" s="23"/>
      <c r="L131" s="23"/>
      <c r="M131" s="23"/>
      <c r="N131" s="29"/>
      <c r="O131" s="29"/>
      <c r="P131" s="29"/>
      <c r="Q131" s="29"/>
      <c r="R131" s="29"/>
      <c r="S131" s="29"/>
      <c r="T131" s="29"/>
      <c r="U131" s="29"/>
      <c r="V131" s="29"/>
      <c r="W131" s="34"/>
      <c r="X131" s="29"/>
      <c r="Y131" s="29"/>
      <c r="Z131" s="29"/>
      <c r="AA131" s="29"/>
      <c r="AB131" s="29"/>
      <c r="AC131" s="29"/>
      <c r="AD131" t="str">
        <f t="shared" si="21"/>
        <v/>
      </c>
    </row>
    <row r="132" spans="1:30" x14ac:dyDescent="0.3">
      <c r="A132" s="23">
        <v>131</v>
      </c>
      <c r="B132" s="30"/>
      <c r="C132" s="30"/>
      <c r="D132" s="30"/>
      <c r="E132" s="24"/>
      <c r="F132" s="24"/>
      <c r="G132" s="34"/>
      <c r="H132" s="24"/>
      <c r="I132" s="23" t="str">
        <f t="shared" si="19"/>
        <v/>
      </c>
      <c r="J132" s="23" t="str">
        <f t="shared" si="20"/>
        <v/>
      </c>
      <c r="K132" s="23"/>
      <c r="L132" s="23"/>
      <c r="M132" s="23"/>
      <c r="N132" s="29"/>
      <c r="O132" s="29"/>
      <c r="P132" s="29"/>
      <c r="Q132" s="29"/>
      <c r="R132" s="29"/>
      <c r="S132" s="29"/>
      <c r="T132" s="29"/>
      <c r="U132" s="29"/>
      <c r="V132" s="29"/>
      <c r="W132" s="34"/>
      <c r="X132" s="29"/>
      <c r="Y132" s="29"/>
      <c r="Z132" s="29"/>
      <c r="AA132" s="29"/>
      <c r="AB132" s="29"/>
      <c r="AC132" s="29"/>
      <c r="AD132" t="str">
        <f t="shared" si="21"/>
        <v/>
      </c>
    </row>
    <row r="133" spans="1:30" x14ac:dyDescent="0.3">
      <c r="A133" s="23">
        <v>132</v>
      </c>
      <c r="B133" s="30"/>
      <c r="C133" s="30"/>
      <c r="D133" s="30"/>
      <c r="E133" s="24"/>
      <c r="F133" s="24"/>
      <c r="G133" s="34"/>
      <c r="H133" s="24"/>
      <c r="I133" s="23" t="str">
        <f t="shared" si="19"/>
        <v/>
      </c>
      <c r="J133" s="23" t="str">
        <f t="shared" si="20"/>
        <v/>
      </c>
      <c r="K133" s="23"/>
      <c r="L133" s="23"/>
      <c r="M133" s="23"/>
      <c r="N133" s="29"/>
      <c r="O133" s="29"/>
      <c r="P133" s="29"/>
      <c r="Q133" s="29"/>
      <c r="R133" s="29"/>
      <c r="S133" s="29"/>
      <c r="T133" s="29"/>
      <c r="U133" s="29"/>
      <c r="V133" s="29"/>
      <c r="W133" s="34"/>
      <c r="X133" s="29"/>
      <c r="Y133" s="29"/>
      <c r="Z133" s="29"/>
      <c r="AA133" s="29"/>
      <c r="AB133" s="29"/>
      <c r="AC133" s="29"/>
      <c r="AD133" t="str">
        <f t="shared" si="21"/>
        <v/>
      </c>
    </row>
    <row r="134" spans="1:30" x14ac:dyDescent="0.3">
      <c r="A134" s="23">
        <v>133</v>
      </c>
      <c r="B134" s="30"/>
      <c r="C134" s="30"/>
      <c r="D134" s="30"/>
      <c r="E134" s="24"/>
      <c r="F134" s="24"/>
      <c r="G134" s="34"/>
      <c r="H134" s="24"/>
      <c r="I134" s="23" t="str">
        <f t="shared" si="19"/>
        <v/>
      </c>
      <c r="J134" s="23" t="str">
        <f t="shared" si="20"/>
        <v/>
      </c>
      <c r="K134" s="23"/>
      <c r="L134" s="23"/>
      <c r="M134" s="23"/>
      <c r="N134" s="29"/>
      <c r="O134" s="29"/>
      <c r="P134" s="29"/>
      <c r="Q134" s="29"/>
      <c r="R134" s="29"/>
      <c r="S134" s="29"/>
      <c r="T134" s="29"/>
      <c r="U134" s="29"/>
      <c r="V134" s="29"/>
      <c r="W134" s="34"/>
      <c r="X134" s="29"/>
      <c r="Y134" s="29"/>
      <c r="Z134" s="29"/>
      <c r="AA134" s="29"/>
      <c r="AB134" s="29"/>
      <c r="AC134" s="29"/>
      <c r="AD134" t="str">
        <f t="shared" si="21"/>
        <v/>
      </c>
    </row>
    <row r="135" spans="1:30" x14ac:dyDescent="0.3">
      <c r="A135" s="23">
        <v>134</v>
      </c>
      <c r="B135" s="30"/>
      <c r="C135" s="30"/>
      <c r="D135" s="30"/>
      <c r="E135" s="24"/>
      <c r="F135" s="24"/>
      <c r="G135" s="34"/>
      <c r="H135" s="24"/>
      <c r="I135" s="23" t="str">
        <f t="shared" si="19"/>
        <v/>
      </c>
      <c r="J135" s="23" t="str">
        <f t="shared" si="20"/>
        <v/>
      </c>
      <c r="K135" s="23"/>
      <c r="L135" s="23"/>
      <c r="M135" s="23"/>
      <c r="N135" s="29"/>
      <c r="O135" s="29"/>
      <c r="P135" s="29"/>
      <c r="Q135" s="29"/>
      <c r="R135" s="29"/>
      <c r="S135" s="29"/>
      <c r="T135" s="29"/>
      <c r="U135" s="29"/>
      <c r="V135" s="29"/>
      <c r="W135" s="34"/>
      <c r="X135" s="29"/>
      <c r="Y135" s="29"/>
      <c r="Z135" s="29"/>
      <c r="AA135" s="29"/>
      <c r="AB135" s="29"/>
      <c r="AC135" s="29"/>
      <c r="AD135" t="str">
        <f t="shared" si="21"/>
        <v/>
      </c>
    </row>
    <row r="136" spans="1:30" x14ac:dyDescent="0.3">
      <c r="A136" s="23">
        <v>135</v>
      </c>
      <c r="B136" s="30"/>
      <c r="C136" s="30"/>
      <c r="D136" s="30"/>
      <c r="E136" s="24"/>
      <c r="F136" s="24"/>
      <c r="G136" s="34"/>
      <c r="H136" s="24"/>
      <c r="I136" s="23" t="str">
        <f t="shared" si="19"/>
        <v/>
      </c>
      <c r="J136" s="23" t="str">
        <f t="shared" si="20"/>
        <v/>
      </c>
      <c r="K136" s="23"/>
      <c r="L136" s="23"/>
      <c r="M136" s="23"/>
      <c r="N136" s="29"/>
      <c r="O136" s="29"/>
      <c r="P136" s="29"/>
      <c r="Q136" s="29"/>
      <c r="R136" s="29"/>
      <c r="S136" s="29"/>
      <c r="T136" s="29"/>
      <c r="U136" s="29"/>
      <c r="V136" s="29"/>
      <c r="W136" s="34"/>
      <c r="X136" s="29"/>
      <c r="Y136" s="29"/>
      <c r="Z136" s="29"/>
      <c r="AA136" s="29"/>
      <c r="AB136" s="29"/>
      <c r="AC136" s="29"/>
      <c r="AD136" t="str">
        <f t="shared" si="21"/>
        <v/>
      </c>
    </row>
    <row r="137" spans="1:30" x14ac:dyDescent="0.3">
      <c r="A137" s="23">
        <v>136</v>
      </c>
      <c r="B137" s="30"/>
      <c r="C137" s="30"/>
      <c r="D137" s="30"/>
      <c r="E137" s="24"/>
      <c r="F137" s="24"/>
      <c r="G137" s="34"/>
      <c r="H137" s="24"/>
      <c r="I137" s="23" t="str">
        <f t="shared" si="19"/>
        <v/>
      </c>
      <c r="J137" s="23" t="str">
        <f t="shared" si="20"/>
        <v/>
      </c>
      <c r="K137" s="23"/>
      <c r="L137" s="23"/>
      <c r="M137" s="23"/>
      <c r="N137" s="29"/>
      <c r="O137" s="29"/>
      <c r="P137" s="29"/>
      <c r="Q137" s="29"/>
      <c r="R137" s="29"/>
      <c r="S137" s="29"/>
      <c r="T137" s="29"/>
      <c r="U137" s="29"/>
      <c r="V137" s="29"/>
      <c r="W137" s="34"/>
      <c r="X137" s="29"/>
      <c r="Y137" s="29"/>
      <c r="Z137" s="29"/>
      <c r="AA137" s="29"/>
      <c r="AB137" s="29"/>
      <c r="AC137" s="29"/>
      <c r="AD137" t="str">
        <f t="shared" si="21"/>
        <v/>
      </c>
    </row>
    <row r="138" spans="1:30" x14ac:dyDescent="0.3">
      <c r="A138" s="23">
        <v>137</v>
      </c>
      <c r="B138" s="30"/>
      <c r="C138" s="30"/>
      <c r="D138" s="30"/>
      <c r="E138" s="24"/>
      <c r="F138" s="24"/>
      <c r="G138" s="34"/>
      <c r="H138" s="24"/>
      <c r="I138" s="23" t="str">
        <f t="shared" si="19"/>
        <v/>
      </c>
      <c r="J138" s="23" t="str">
        <f t="shared" si="20"/>
        <v/>
      </c>
      <c r="K138" s="23"/>
      <c r="L138" s="23"/>
      <c r="M138" s="23"/>
      <c r="N138" s="29"/>
      <c r="O138" s="29"/>
      <c r="P138" s="29"/>
      <c r="Q138" s="29"/>
      <c r="R138" s="29"/>
      <c r="S138" s="29"/>
      <c r="T138" s="29"/>
      <c r="U138" s="29"/>
      <c r="V138" s="29"/>
      <c r="W138" s="34"/>
      <c r="X138" s="29"/>
      <c r="Y138" s="29"/>
      <c r="Z138" s="29"/>
      <c r="AA138" s="29"/>
      <c r="AB138" s="29"/>
      <c r="AC138" s="29"/>
      <c r="AD138" t="str">
        <f t="shared" si="21"/>
        <v/>
      </c>
    </row>
    <row r="139" spans="1:30" x14ac:dyDescent="0.3">
      <c r="A139" s="23">
        <v>138</v>
      </c>
      <c r="B139" s="30"/>
      <c r="C139" s="30"/>
      <c r="D139" s="30"/>
      <c r="E139" s="24"/>
      <c r="F139" s="24"/>
      <c r="G139" s="34"/>
      <c r="H139" s="24"/>
      <c r="I139" s="23" t="str">
        <f t="shared" si="19"/>
        <v/>
      </c>
      <c r="J139" s="23" t="str">
        <f t="shared" si="20"/>
        <v/>
      </c>
      <c r="K139" s="23"/>
      <c r="L139" s="23"/>
      <c r="M139" s="23"/>
      <c r="N139" s="29"/>
      <c r="O139" s="29"/>
      <c r="P139" s="29"/>
      <c r="Q139" s="29"/>
      <c r="R139" s="29"/>
      <c r="S139" s="29"/>
      <c r="T139" s="29"/>
      <c r="U139" s="29"/>
      <c r="V139" s="29"/>
      <c r="W139" s="34"/>
      <c r="X139" s="29"/>
      <c r="Y139" s="29"/>
      <c r="Z139" s="29"/>
      <c r="AA139" s="29"/>
      <c r="AB139" s="29"/>
      <c r="AC139" s="29"/>
      <c r="AD139" t="str">
        <f t="shared" si="21"/>
        <v/>
      </c>
    </row>
    <row r="140" spans="1:30" x14ac:dyDescent="0.3">
      <c r="A140" s="23">
        <v>139</v>
      </c>
      <c r="B140" s="30"/>
      <c r="C140" s="30"/>
      <c r="D140" s="30"/>
      <c r="E140" s="24"/>
      <c r="F140" s="24"/>
      <c r="G140" s="34"/>
      <c r="H140" s="24"/>
      <c r="I140" s="23" t="str">
        <f t="shared" si="19"/>
        <v/>
      </c>
      <c r="J140" s="23" t="str">
        <f t="shared" si="20"/>
        <v/>
      </c>
      <c r="K140" s="23"/>
      <c r="L140" s="23"/>
      <c r="M140" s="23"/>
      <c r="N140" s="29"/>
      <c r="O140" s="29"/>
      <c r="P140" s="29"/>
      <c r="Q140" s="29"/>
      <c r="R140" s="29"/>
      <c r="S140" s="29"/>
      <c r="T140" s="29"/>
      <c r="U140" s="29"/>
      <c r="V140" s="29"/>
      <c r="W140" s="34"/>
      <c r="X140" s="29"/>
      <c r="Y140" s="29"/>
      <c r="Z140" s="29"/>
      <c r="AA140" s="29"/>
      <c r="AB140" s="29"/>
      <c r="AC140" s="29"/>
      <c r="AD140" t="str">
        <f t="shared" si="21"/>
        <v/>
      </c>
    </row>
    <row r="141" spans="1:30" x14ac:dyDescent="0.3">
      <c r="A141" s="23">
        <v>140</v>
      </c>
      <c r="B141" s="30"/>
      <c r="C141" s="30"/>
      <c r="D141" s="30"/>
      <c r="E141" s="24"/>
      <c r="F141" s="24"/>
      <c r="G141" s="34"/>
      <c r="H141" s="24"/>
      <c r="I141" s="23" t="str">
        <f t="shared" si="19"/>
        <v/>
      </c>
      <c r="J141" s="23" t="str">
        <f t="shared" si="20"/>
        <v/>
      </c>
      <c r="K141" s="23"/>
      <c r="L141" s="23"/>
      <c r="M141" s="23"/>
      <c r="N141" s="29"/>
      <c r="O141" s="29"/>
      <c r="P141" s="29"/>
      <c r="Q141" s="29"/>
      <c r="R141" s="29"/>
      <c r="S141" s="29"/>
      <c r="T141" s="29"/>
      <c r="U141" s="29"/>
      <c r="V141" s="29"/>
      <c r="W141" s="34"/>
      <c r="X141" s="29"/>
      <c r="Y141" s="29"/>
      <c r="Z141" s="29"/>
      <c r="AA141" s="29"/>
      <c r="AB141" s="29"/>
      <c r="AC141" s="29"/>
      <c r="AD141" t="str">
        <f t="shared" si="21"/>
        <v/>
      </c>
    </row>
    <row r="142" spans="1:30" x14ac:dyDescent="0.3">
      <c r="A142" s="23">
        <v>141</v>
      </c>
      <c r="B142" s="30"/>
      <c r="C142" s="30"/>
      <c r="D142" s="30"/>
      <c r="E142" s="24"/>
      <c r="F142" s="24"/>
      <c r="G142" s="34"/>
      <c r="H142" s="24"/>
      <c r="I142" s="23" t="str">
        <f t="shared" si="19"/>
        <v/>
      </c>
      <c r="J142" s="23" t="str">
        <f t="shared" si="20"/>
        <v/>
      </c>
      <c r="K142" s="23"/>
      <c r="L142" s="23"/>
      <c r="M142" s="23"/>
      <c r="N142" s="29"/>
      <c r="O142" s="29"/>
      <c r="P142" s="29"/>
      <c r="Q142" s="29"/>
      <c r="R142" s="29"/>
      <c r="S142" s="29"/>
      <c r="T142" s="29"/>
      <c r="U142" s="29"/>
      <c r="V142" s="29"/>
      <c r="W142" s="34"/>
      <c r="X142" s="29"/>
      <c r="Y142" s="29"/>
      <c r="Z142" s="29"/>
      <c r="AA142" s="29"/>
      <c r="AB142" s="29"/>
      <c r="AC142" s="29"/>
      <c r="AD142" t="str">
        <f t="shared" si="21"/>
        <v/>
      </c>
    </row>
    <row r="143" spans="1:30" x14ac:dyDescent="0.3">
      <c r="A143" s="23">
        <v>142</v>
      </c>
      <c r="B143" s="30"/>
      <c r="C143" s="30"/>
      <c r="D143" s="30"/>
      <c r="E143" s="24"/>
      <c r="F143" s="24"/>
      <c r="G143" s="34"/>
      <c r="H143" s="24"/>
      <c r="I143" s="23" t="str">
        <f t="shared" si="19"/>
        <v/>
      </c>
      <c r="J143" s="23" t="str">
        <f t="shared" si="20"/>
        <v/>
      </c>
      <c r="K143" s="23"/>
      <c r="L143" s="23"/>
      <c r="M143" s="23"/>
      <c r="N143" s="29"/>
      <c r="O143" s="29"/>
      <c r="P143" s="29"/>
      <c r="Q143" s="29"/>
      <c r="R143" s="29"/>
      <c r="S143" s="29"/>
      <c r="T143" s="29"/>
      <c r="U143" s="29"/>
      <c r="V143" s="29"/>
      <c r="W143" s="34"/>
      <c r="X143" s="29"/>
      <c r="Y143" s="29"/>
      <c r="Z143" s="29"/>
      <c r="AA143" s="29"/>
      <c r="AB143" s="29"/>
      <c r="AC143" s="29"/>
      <c r="AD143" t="str">
        <f t="shared" si="21"/>
        <v/>
      </c>
    </row>
    <row r="144" spans="1:30" x14ac:dyDescent="0.3">
      <c r="A144" s="23">
        <v>143</v>
      </c>
      <c r="B144" s="30"/>
      <c r="C144" s="30"/>
      <c r="D144" s="30"/>
      <c r="E144" s="24"/>
      <c r="F144" s="24"/>
      <c r="G144" s="34"/>
      <c r="H144" s="24"/>
      <c r="I144" s="23" t="str">
        <f t="shared" si="19"/>
        <v/>
      </c>
      <c r="J144" s="23" t="str">
        <f t="shared" si="20"/>
        <v/>
      </c>
      <c r="K144" s="23"/>
      <c r="L144" s="23"/>
      <c r="M144" s="23"/>
      <c r="N144" s="29"/>
      <c r="O144" s="29"/>
      <c r="P144" s="29"/>
      <c r="Q144" s="29"/>
      <c r="R144" s="29"/>
      <c r="S144" s="29"/>
      <c r="T144" s="29"/>
      <c r="U144" s="29"/>
      <c r="V144" s="29"/>
      <c r="W144" s="34"/>
      <c r="X144" s="29"/>
      <c r="Y144" s="29"/>
      <c r="Z144" s="29"/>
      <c r="AA144" s="29"/>
      <c r="AB144" s="29"/>
      <c r="AC144" s="29"/>
      <c r="AD144" t="str">
        <f t="shared" si="21"/>
        <v/>
      </c>
    </row>
    <row r="145" spans="1:30" x14ac:dyDescent="0.3">
      <c r="A145" s="23">
        <v>144</v>
      </c>
      <c r="B145" s="30"/>
      <c r="C145" s="30"/>
      <c r="D145" s="30"/>
      <c r="E145" s="24"/>
      <c r="F145" s="24"/>
      <c r="G145" s="34"/>
      <c r="H145" s="24"/>
      <c r="I145" s="23" t="str">
        <f t="shared" si="19"/>
        <v/>
      </c>
      <c r="J145" s="23" t="str">
        <f t="shared" si="20"/>
        <v/>
      </c>
      <c r="K145" s="23"/>
      <c r="L145" s="23"/>
      <c r="M145" s="23"/>
      <c r="N145" s="29"/>
      <c r="O145" s="29"/>
      <c r="P145" s="29"/>
      <c r="Q145" s="29"/>
      <c r="R145" s="29"/>
      <c r="S145" s="29"/>
      <c r="T145" s="29"/>
      <c r="U145" s="29"/>
      <c r="V145" s="29"/>
      <c r="W145" s="34"/>
      <c r="X145" s="29"/>
      <c r="Y145" s="29"/>
      <c r="Z145" s="29"/>
      <c r="AA145" s="29"/>
      <c r="AB145" s="29"/>
      <c r="AC145" s="29"/>
      <c r="AD145" t="str">
        <f t="shared" si="21"/>
        <v/>
      </c>
    </row>
    <row r="146" spans="1:30" x14ac:dyDescent="0.3">
      <c r="A146" s="23">
        <v>145</v>
      </c>
      <c r="B146" s="30"/>
      <c r="C146" s="30"/>
      <c r="D146" s="30"/>
      <c r="E146" s="24"/>
      <c r="F146" s="24"/>
      <c r="G146" s="34"/>
      <c r="H146" s="24"/>
      <c r="I146" s="23" t="str">
        <f t="shared" si="19"/>
        <v/>
      </c>
      <c r="J146" s="23" t="str">
        <f t="shared" si="20"/>
        <v/>
      </c>
      <c r="K146" s="23"/>
      <c r="L146" s="23"/>
      <c r="M146" s="23"/>
      <c r="N146" s="29"/>
      <c r="O146" s="29"/>
      <c r="P146" s="29"/>
      <c r="Q146" s="29"/>
      <c r="R146" s="29"/>
      <c r="S146" s="29"/>
      <c r="T146" s="29"/>
      <c r="U146" s="29"/>
      <c r="V146" s="29"/>
      <c r="W146" s="34"/>
      <c r="X146" s="29"/>
      <c r="Y146" s="29"/>
      <c r="Z146" s="29"/>
      <c r="AA146" s="29"/>
      <c r="AB146" s="29"/>
      <c r="AC146" s="29"/>
      <c r="AD146" t="str">
        <f t="shared" si="21"/>
        <v/>
      </c>
    </row>
    <row r="147" spans="1:30" x14ac:dyDescent="0.3">
      <c r="A147" s="23">
        <v>146</v>
      </c>
      <c r="B147" s="30"/>
      <c r="C147" s="30"/>
      <c r="D147" s="30"/>
      <c r="E147" s="24"/>
      <c r="F147" s="24"/>
      <c r="G147" s="34"/>
      <c r="H147" s="24"/>
      <c r="I147" s="23" t="str">
        <f t="shared" si="19"/>
        <v/>
      </c>
      <c r="J147" s="23" t="str">
        <f t="shared" si="20"/>
        <v/>
      </c>
      <c r="K147" s="23"/>
      <c r="L147" s="23"/>
      <c r="M147" s="23"/>
      <c r="N147" s="29"/>
      <c r="O147" s="29"/>
      <c r="P147" s="29"/>
      <c r="Q147" s="29"/>
      <c r="R147" s="29"/>
      <c r="S147" s="29"/>
      <c r="T147" s="29"/>
      <c r="U147" s="29"/>
      <c r="V147" s="29"/>
      <c r="W147" s="34"/>
      <c r="X147" s="29"/>
      <c r="Y147" s="29"/>
      <c r="Z147" s="29"/>
      <c r="AA147" s="29"/>
      <c r="AB147" s="29"/>
      <c r="AC147" s="29"/>
      <c r="AD147" t="str">
        <f t="shared" si="21"/>
        <v/>
      </c>
    </row>
    <row r="148" spans="1:30" x14ac:dyDescent="0.3">
      <c r="A148" s="23">
        <v>147</v>
      </c>
      <c r="B148" s="30"/>
      <c r="C148" s="30"/>
      <c r="D148" s="30"/>
      <c r="E148" s="24"/>
      <c r="F148" s="24"/>
      <c r="G148" s="34"/>
      <c r="H148" s="24"/>
      <c r="I148" s="23" t="str">
        <f t="shared" si="19"/>
        <v/>
      </c>
      <c r="J148" s="23" t="str">
        <f t="shared" si="20"/>
        <v/>
      </c>
      <c r="K148" s="23"/>
      <c r="L148" s="23"/>
      <c r="M148" s="23"/>
      <c r="N148" s="29"/>
      <c r="O148" s="29"/>
      <c r="P148" s="29"/>
      <c r="Q148" s="29"/>
      <c r="R148" s="29"/>
      <c r="S148" s="29"/>
      <c r="T148" s="29"/>
      <c r="U148" s="29"/>
      <c r="V148" s="29"/>
      <c r="W148" s="34"/>
      <c r="X148" s="29"/>
      <c r="Y148" s="29"/>
      <c r="Z148" s="29"/>
      <c r="AA148" s="29"/>
      <c r="AB148" s="29"/>
      <c r="AC148" s="29"/>
      <c r="AD148" t="str">
        <f t="shared" si="21"/>
        <v/>
      </c>
    </row>
    <row r="149" spans="1:30" x14ac:dyDescent="0.3">
      <c r="A149" s="23">
        <v>148</v>
      </c>
      <c r="B149" s="30"/>
      <c r="C149" s="30"/>
      <c r="D149" s="30"/>
      <c r="E149" s="24"/>
      <c r="F149" s="24"/>
      <c r="G149" s="34"/>
      <c r="H149" s="24"/>
      <c r="I149" s="23" t="str">
        <f t="shared" si="19"/>
        <v/>
      </c>
      <c r="J149" s="23" t="str">
        <f t="shared" si="20"/>
        <v/>
      </c>
      <c r="K149" s="23"/>
      <c r="L149" s="23"/>
      <c r="M149" s="23"/>
      <c r="N149" s="29"/>
      <c r="O149" s="29"/>
      <c r="P149" s="29"/>
      <c r="Q149" s="29"/>
      <c r="R149" s="29"/>
      <c r="S149" s="29"/>
      <c r="T149" s="29"/>
      <c r="U149" s="29"/>
      <c r="V149" s="29"/>
      <c r="W149" s="34"/>
      <c r="X149" s="29"/>
      <c r="Y149" s="29"/>
      <c r="Z149" s="29"/>
      <c r="AA149" s="29"/>
      <c r="AB149" s="29"/>
      <c r="AC149" s="29"/>
      <c r="AD149" t="str">
        <f t="shared" si="21"/>
        <v/>
      </c>
    </row>
    <row r="150" spans="1:30" x14ac:dyDescent="0.3">
      <c r="A150" s="23">
        <v>149</v>
      </c>
      <c r="B150" s="30"/>
      <c r="C150" s="30"/>
      <c r="D150" s="30"/>
      <c r="E150" s="24"/>
      <c r="F150" s="24"/>
      <c r="G150" s="34"/>
      <c r="H150" s="24"/>
      <c r="I150" s="23" t="str">
        <f t="shared" si="19"/>
        <v/>
      </c>
      <c r="J150" s="23" t="str">
        <f t="shared" si="20"/>
        <v/>
      </c>
      <c r="K150" s="23"/>
      <c r="L150" s="23"/>
      <c r="M150" s="23"/>
      <c r="N150" s="29"/>
      <c r="O150" s="29"/>
      <c r="P150" s="29"/>
      <c r="Q150" s="29"/>
      <c r="R150" s="29"/>
      <c r="S150" s="29"/>
      <c r="T150" s="29"/>
      <c r="U150" s="29"/>
      <c r="V150" s="29"/>
      <c r="W150" s="34"/>
      <c r="X150" s="29"/>
      <c r="Y150" s="29"/>
      <c r="Z150" s="29"/>
      <c r="AA150" s="29"/>
      <c r="AB150" s="29"/>
      <c r="AC150" s="29"/>
      <c r="AD150" t="str">
        <f t="shared" si="21"/>
        <v/>
      </c>
    </row>
    <row r="151" spans="1:30" x14ac:dyDescent="0.3">
      <c r="A151" s="23">
        <v>150</v>
      </c>
      <c r="B151" s="30"/>
      <c r="C151" s="30"/>
      <c r="D151" s="30"/>
      <c r="E151" s="24"/>
      <c r="F151" s="24"/>
      <c r="G151" s="34"/>
      <c r="H151" s="24"/>
      <c r="I151" s="23" t="str">
        <f t="shared" si="19"/>
        <v/>
      </c>
      <c r="J151" s="23" t="str">
        <f t="shared" si="20"/>
        <v/>
      </c>
      <c r="K151" s="23"/>
      <c r="L151" s="23"/>
      <c r="M151" s="23"/>
      <c r="N151" s="29"/>
      <c r="O151" s="29"/>
      <c r="P151" s="29"/>
      <c r="Q151" s="29"/>
      <c r="R151" s="29"/>
      <c r="S151" s="29"/>
      <c r="T151" s="29"/>
      <c r="U151" s="29"/>
      <c r="V151" s="29"/>
      <c r="W151" s="34"/>
      <c r="X151" s="29"/>
      <c r="Y151" s="29"/>
      <c r="Z151" s="29"/>
      <c r="AA151" s="29"/>
      <c r="AB151" s="29"/>
      <c r="AC151" s="29"/>
      <c r="AD151" t="str">
        <f t="shared" si="21"/>
        <v/>
      </c>
    </row>
    <row r="152" spans="1:30" x14ac:dyDescent="0.3">
      <c r="A152" s="23">
        <v>151</v>
      </c>
      <c r="B152" s="30"/>
      <c r="C152" s="30"/>
      <c r="D152" s="30"/>
      <c r="E152" s="24"/>
      <c r="F152" s="24"/>
      <c r="G152" s="34"/>
      <c r="H152" s="24"/>
      <c r="I152" s="23" t="str">
        <f t="shared" si="19"/>
        <v/>
      </c>
      <c r="J152" s="23" t="str">
        <f t="shared" si="20"/>
        <v/>
      </c>
      <c r="K152" s="23"/>
      <c r="L152" s="23"/>
      <c r="M152" s="23"/>
      <c r="N152" s="29"/>
      <c r="O152" s="29"/>
      <c r="P152" s="29"/>
      <c r="Q152" s="29"/>
      <c r="R152" s="29"/>
      <c r="S152" s="29"/>
      <c r="T152" s="29"/>
      <c r="U152" s="29"/>
      <c r="V152" s="29"/>
      <c r="W152" s="34"/>
      <c r="X152" s="29"/>
      <c r="Y152" s="29"/>
      <c r="Z152" s="29"/>
      <c r="AA152" s="29"/>
      <c r="AB152" s="29"/>
      <c r="AC152" s="29"/>
      <c r="AD152" t="str">
        <f t="shared" si="21"/>
        <v/>
      </c>
    </row>
    <row r="153" spans="1:30" x14ac:dyDescent="0.3">
      <c r="A153" s="23">
        <v>152</v>
      </c>
      <c r="B153" s="30"/>
      <c r="C153" s="30"/>
      <c r="D153" s="30"/>
      <c r="E153" s="24"/>
      <c r="F153" s="24"/>
      <c r="G153" s="34"/>
      <c r="H153" s="24"/>
      <c r="I153" s="23" t="str">
        <f t="shared" si="19"/>
        <v/>
      </c>
      <c r="J153" s="23" t="str">
        <f t="shared" si="20"/>
        <v/>
      </c>
      <c r="K153" s="23"/>
      <c r="L153" s="23"/>
      <c r="M153" s="23"/>
      <c r="N153" s="29"/>
      <c r="O153" s="29"/>
      <c r="P153" s="29"/>
      <c r="Q153" s="29"/>
      <c r="R153" s="29"/>
      <c r="S153" s="29"/>
      <c r="T153" s="29"/>
      <c r="U153" s="29"/>
      <c r="V153" s="29"/>
      <c r="W153" s="34"/>
      <c r="X153" s="29"/>
      <c r="Y153" s="29"/>
      <c r="Z153" s="29"/>
      <c r="AA153" s="29"/>
      <c r="AB153" s="29"/>
      <c r="AC153" s="29"/>
      <c r="AD153" t="str">
        <f t="shared" si="21"/>
        <v/>
      </c>
    </row>
    <row r="154" spans="1:30" x14ac:dyDescent="0.3">
      <c r="A154" s="23">
        <v>153</v>
      </c>
      <c r="B154" s="30"/>
      <c r="C154" s="30"/>
      <c r="D154" s="30"/>
      <c r="E154" s="24"/>
      <c r="F154" s="24"/>
      <c r="G154" s="34"/>
      <c r="H154" s="24"/>
      <c r="I154" s="23" t="str">
        <f t="shared" si="19"/>
        <v/>
      </c>
      <c r="J154" s="23" t="str">
        <f t="shared" si="20"/>
        <v/>
      </c>
      <c r="K154" s="23"/>
      <c r="L154" s="23"/>
      <c r="M154" s="23"/>
      <c r="N154" s="29"/>
      <c r="O154" s="29"/>
      <c r="P154" s="29"/>
      <c r="Q154" s="29"/>
      <c r="R154" s="29"/>
      <c r="S154" s="29"/>
      <c r="T154" s="29"/>
      <c r="U154" s="29"/>
      <c r="V154" s="29"/>
      <c r="W154" s="34"/>
      <c r="X154" s="29"/>
      <c r="Y154" s="29"/>
      <c r="Z154" s="29"/>
      <c r="AA154" s="29"/>
      <c r="AB154" s="29"/>
      <c r="AC154" s="29"/>
      <c r="AD154" t="str">
        <f t="shared" si="21"/>
        <v/>
      </c>
    </row>
    <row r="155" spans="1:30" x14ac:dyDescent="0.3">
      <c r="A155" s="23">
        <v>154</v>
      </c>
      <c r="B155" s="30"/>
      <c r="C155" s="30"/>
      <c r="D155" s="30"/>
      <c r="E155" s="24"/>
      <c r="F155" s="24"/>
      <c r="G155" s="34"/>
      <c r="H155" s="24"/>
      <c r="I155" s="23" t="str">
        <f t="shared" si="19"/>
        <v/>
      </c>
      <c r="J155" s="23" t="str">
        <f t="shared" si="20"/>
        <v/>
      </c>
      <c r="K155" s="23"/>
      <c r="L155" s="23"/>
      <c r="M155" s="23"/>
      <c r="N155" s="29"/>
      <c r="O155" s="29"/>
      <c r="P155" s="29"/>
      <c r="Q155" s="29"/>
      <c r="R155" s="29"/>
      <c r="S155" s="29"/>
      <c r="T155" s="29"/>
      <c r="U155" s="29"/>
      <c r="V155" s="29"/>
      <c r="W155" s="34"/>
      <c r="X155" s="29"/>
      <c r="Y155" s="29"/>
      <c r="Z155" s="29"/>
      <c r="AA155" s="29"/>
      <c r="AB155" s="29"/>
      <c r="AC155" s="29"/>
      <c r="AD155" t="str">
        <f t="shared" si="21"/>
        <v/>
      </c>
    </row>
    <row r="156" spans="1:30" x14ac:dyDescent="0.3">
      <c r="A156" s="23">
        <v>155</v>
      </c>
      <c r="B156" s="30"/>
      <c r="C156" s="30"/>
      <c r="D156" s="30"/>
      <c r="E156" s="24"/>
      <c r="F156" s="24"/>
      <c r="G156" s="34"/>
      <c r="H156" s="24"/>
      <c r="I156" s="23" t="str">
        <f t="shared" si="19"/>
        <v/>
      </c>
      <c r="J156" s="23" t="str">
        <f t="shared" si="20"/>
        <v/>
      </c>
      <c r="K156" s="23"/>
      <c r="L156" s="23"/>
      <c r="M156" s="23"/>
      <c r="N156" s="29"/>
      <c r="O156" s="29"/>
      <c r="P156" s="29"/>
      <c r="Q156" s="29"/>
      <c r="R156" s="29"/>
      <c r="S156" s="29"/>
      <c r="T156" s="29"/>
      <c r="U156" s="29"/>
      <c r="V156" s="29"/>
      <c r="W156" s="34"/>
      <c r="X156" s="29"/>
      <c r="Y156" s="29"/>
      <c r="Z156" s="29"/>
      <c r="AA156" s="29"/>
      <c r="AB156" s="29"/>
      <c r="AC156" s="29"/>
      <c r="AD156" t="str">
        <f t="shared" si="21"/>
        <v/>
      </c>
    </row>
    <row r="157" spans="1:30" x14ac:dyDescent="0.3">
      <c r="A157" s="23">
        <v>156</v>
      </c>
      <c r="B157" s="30"/>
      <c r="C157" s="30"/>
      <c r="D157" s="30"/>
      <c r="E157" s="24"/>
      <c r="F157" s="24"/>
      <c r="G157" s="34"/>
      <c r="H157" s="24"/>
      <c r="I157" s="23" t="str">
        <f t="shared" si="19"/>
        <v/>
      </c>
      <c r="J157" s="23" t="str">
        <f t="shared" si="20"/>
        <v/>
      </c>
      <c r="K157" s="23"/>
      <c r="L157" s="23"/>
      <c r="M157" s="23"/>
      <c r="N157" s="29"/>
      <c r="O157" s="29"/>
      <c r="P157" s="29"/>
      <c r="Q157" s="29"/>
      <c r="R157" s="29"/>
      <c r="S157" s="29"/>
      <c r="T157" s="29"/>
      <c r="U157" s="29"/>
      <c r="V157" s="29"/>
      <c r="W157" s="34"/>
      <c r="X157" s="29"/>
      <c r="Y157" s="29"/>
      <c r="Z157" s="29"/>
      <c r="AA157" s="29"/>
      <c r="AB157" s="29"/>
      <c r="AC157" s="29"/>
      <c r="AD157" t="str">
        <f t="shared" si="21"/>
        <v/>
      </c>
    </row>
    <row r="158" spans="1:30" x14ac:dyDescent="0.3">
      <c r="A158" s="23">
        <v>157</v>
      </c>
      <c r="B158" s="30"/>
      <c r="C158" s="30"/>
      <c r="D158" s="30"/>
      <c r="E158" s="24"/>
      <c r="F158" s="24"/>
      <c r="G158" s="34"/>
      <c r="H158" s="24"/>
      <c r="I158" s="23" t="str">
        <f t="shared" si="19"/>
        <v/>
      </c>
      <c r="J158" s="23" t="str">
        <f t="shared" si="20"/>
        <v/>
      </c>
      <c r="K158" s="23"/>
      <c r="L158" s="23"/>
      <c r="M158" s="23"/>
      <c r="N158" s="29"/>
      <c r="O158" s="29"/>
      <c r="P158" s="29"/>
      <c r="Q158" s="29"/>
      <c r="R158" s="29"/>
      <c r="S158" s="29"/>
      <c r="T158" s="29"/>
      <c r="U158" s="29"/>
      <c r="V158" s="29"/>
      <c r="W158" s="34"/>
      <c r="X158" s="29"/>
      <c r="Y158" s="29"/>
      <c r="Z158" s="29"/>
      <c r="AA158" s="29"/>
      <c r="AB158" s="29"/>
      <c r="AC158" s="29"/>
      <c r="AD158" t="str">
        <f t="shared" si="21"/>
        <v/>
      </c>
    </row>
    <row r="159" spans="1:30" x14ac:dyDescent="0.3">
      <c r="A159" s="23">
        <v>158</v>
      </c>
      <c r="B159" s="30"/>
      <c r="C159" s="30"/>
      <c r="D159" s="30"/>
      <c r="E159" s="24"/>
      <c r="F159" s="24"/>
      <c r="G159" s="34"/>
      <c r="H159" s="24"/>
      <c r="I159" s="23" t="str">
        <f t="shared" si="19"/>
        <v/>
      </c>
      <c r="J159" s="23" t="str">
        <f t="shared" si="20"/>
        <v/>
      </c>
      <c r="K159" s="23"/>
      <c r="L159" s="23"/>
      <c r="M159" s="23"/>
      <c r="N159" s="29"/>
      <c r="O159" s="29"/>
      <c r="P159" s="29"/>
      <c r="Q159" s="29"/>
      <c r="R159" s="29"/>
      <c r="S159" s="29"/>
      <c r="T159" s="29"/>
      <c r="U159" s="29"/>
      <c r="V159" s="29"/>
      <c r="W159" s="34"/>
      <c r="X159" s="29"/>
      <c r="Y159" s="29"/>
      <c r="Z159" s="29"/>
      <c r="AA159" s="29"/>
      <c r="AB159" s="29"/>
      <c r="AC159" s="29"/>
      <c r="AD159" t="str">
        <f t="shared" si="21"/>
        <v/>
      </c>
    </row>
    <row r="160" spans="1:30" x14ac:dyDescent="0.3">
      <c r="A160" s="23">
        <v>159</v>
      </c>
      <c r="B160" s="30"/>
      <c r="C160" s="30"/>
      <c r="D160" s="30"/>
      <c r="E160" s="24"/>
      <c r="F160" s="24"/>
      <c r="G160" s="34"/>
      <c r="H160" s="24"/>
      <c r="I160" s="23" t="str">
        <f t="shared" si="19"/>
        <v/>
      </c>
      <c r="J160" s="23" t="str">
        <f t="shared" si="20"/>
        <v/>
      </c>
      <c r="K160" s="23"/>
      <c r="L160" s="23"/>
      <c r="M160" s="23"/>
      <c r="N160" s="29"/>
      <c r="O160" s="29"/>
      <c r="P160" s="29"/>
      <c r="Q160" s="29"/>
      <c r="R160" s="29"/>
      <c r="S160" s="29"/>
      <c r="T160" s="29"/>
      <c r="U160" s="29"/>
      <c r="V160" s="29"/>
      <c r="W160" s="34"/>
      <c r="X160" s="29"/>
      <c r="Y160" s="29"/>
      <c r="Z160" s="29"/>
      <c r="AA160" s="29"/>
      <c r="AB160" s="29"/>
      <c r="AC160" s="29"/>
      <c r="AD160" t="str">
        <f t="shared" si="21"/>
        <v/>
      </c>
    </row>
    <row r="161" spans="1:30" x14ac:dyDescent="0.3">
      <c r="A161" s="23">
        <v>160</v>
      </c>
      <c r="B161" s="30"/>
      <c r="C161" s="30"/>
      <c r="D161" s="30"/>
      <c r="E161" s="24"/>
      <c r="F161" s="24"/>
      <c r="G161" s="34"/>
      <c r="H161" s="24"/>
      <c r="I161" s="23" t="str">
        <f t="shared" si="19"/>
        <v/>
      </c>
      <c r="J161" s="23" t="str">
        <f t="shared" si="20"/>
        <v/>
      </c>
      <c r="K161" s="23"/>
      <c r="L161" s="23"/>
      <c r="M161" s="23"/>
      <c r="N161" s="29"/>
      <c r="O161" s="29"/>
      <c r="P161" s="29"/>
      <c r="Q161" s="29"/>
      <c r="R161" s="29"/>
      <c r="S161" s="29"/>
      <c r="T161" s="29"/>
      <c r="U161" s="29"/>
      <c r="V161" s="29"/>
      <c r="W161" s="34"/>
      <c r="X161" s="29"/>
      <c r="Y161" s="29"/>
      <c r="Z161" s="29"/>
      <c r="AA161" s="29"/>
      <c r="AB161" s="29"/>
      <c r="AC161" s="29"/>
      <c r="AD161" t="str">
        <f t="shared" si="21"/>
        <v/>
      </c>
    </row>
    <row r="162" spans="1:30" x14ac:dyDescent="0.3">
      <c r="A162" s="23">
        <v>161</v>
      </c>
      <c r="B162" s="30"/>
      <c r="C162" s="30"/>
      <c r="D162" s="30"/>
      <c r="E162" s="24"/>
      <c r="F162" s="24"/>
      <c r="G162" s="34"/>
      <c r="H162" s="24"/>
      <c r="I162" s="23" t="str">
        <f t="shared" si="19"/>
        <v/>
      </c>
      <c r="J162" s="23" t="str">
        <f t="shared" si="20"/>
        <v/>
      </c>
      <c r="K162" s="23"/>
      <c r="L162" s="23"/>
      <c r="M162" s="23"/>
      <c r="N162" s="29"/>
      <c r="O162" s="29"/>
      <c r="P162" s="29"/>
      <c r="Q162" s="29"/>
      <c r="R162" s="29"/>
      <c r="S162" s="29"/>
      <c r="T162" s="29"/>
      <c r="U162" s="29"/>
      <c r="V162" s="29"/>
      <c r="W162" s="34"/>
      <c r="X162" s="29"/>
      <c r="Y162" s="29"/>
      <c r="Z162" s="29"/>
      <c r="AA162" s="29"/>
      <c r="AB162" s="29"/>
      <c r="AC162" s="29"/>
      <c r="AD162" t="str">
        <f t="shared" si="21"/>
        <v/>
      </c>
    </row>
    <row r="163" spans="1:30" x14ac:dyDescent="0.3">
      <c r="A163" s="23">
        <v>162</v>
      </c>
      <c r="B163" s="30"/>
      <c r="C163" s="30"/>
      <c r="D163" s="30"/>
      <c r="E163" s="24"/>
      <c r="F163" s="24"/>
      <c r="G163" s="34"/>
      <c r="H163" s="24"/>
      <c r="I163" s="23" t="str">
        <f t="shared" si="19"/>
        <v/>
      </c>
      <c r="J163" s="23" t="str">
        <f t="shared" si="20"/>
        <v/>
      </c>
      <c r="K163" s="23"/>
      <c r="L163" s="23"/>
      <c r="M163" s="23"/>
      <c r="N163" s="29"/>
      <c r="O163" s="29"/>
      <c r="P163" s="29"/>
      <c r="Q163" s="29"/>
      <c r="R163" s="29"/>
      <c r="S163" s="29"/>
      <c r="T163" s="29"/>
      <c r="U163" s="29"/>
      <c r="V163" s="29"/>
      <c r="W163" s="34"/>
      <c r="X163" s="29"/>
      <c r="Y163" s="29"/>
      <c r="Z163" s="29"/>
      <c r="AA163" s="29"/>
      <c r="AB163" s="29"/>
      <c r="AC163" s="29"/>
      <c r="AD163" t="str">
        <f t="shared" si="21"/>
        <v/>
      </c>
    </row>
    <row r="164" spans="1:30" x14ac:dyDescent="0.3">
      <c r="A164" s="23">
        <v>163</v>
      </c>
      <c r="B164" s="30"/>
      <c r="C164" s="30"/>
      <c r="D164" s="30"/>
      <c r="E164" s="24"/>
      <c r="F164" s="24"/>
      <c r="G164" s="34"/>
      <c r="H164" s="24"/>
      <c r="I164" s="23" t="str">
        <f t="shared" si="19"/>
        <v/>
      </c>
      <c r="J164" s="23" t="str">
        <f t="shared" si="20"/>
        <v/>
      </c>
      <c r="K164" s="23"/>
      <c r="L164" s="23"/>
      <c r="M164" s="23"/>
      <c r="N164" s="29"/>
      <c r="O164" s="29"/>
      <c r="P164" s="29"/>
      <c r="Q164" s="29"/>
      <c r="R164" s="29"/>
      <c r="S164" s="29"/>
      <c r="T164" s="29"/>
      <c r="U164" s="29"/>
      <c r="V164" s="29"/>
      <c r="W164" s="34"/>
      <c r="X164" s="29"/>
      <c r="Y164" s="29"/>
      <c r="Z164" s="29"/>
      <c r="AA164" s="29"/>
      <c r="AB164" s="29"/>
      <c r="AC164" s="29"/>
      <c r="AD164" t="str">
        <f t="shared" si="21"/>
        <v/>
      </c>
    </row>
    <row r="165" spans="1:30" x14ac:dyDescent="0.3">
      <c r="A165" s="23">
        <v>164</v>
      </c>
      <c r="B165" s="30"/>
      <c r="C165" s="30"/>
      <c r="D165" s="30"/>
      <c r="E165" s="24"/>
      <c r="F165" s="24"/>
      <c r="G165" s="34"/>
      <c r="H165" s="24"/>
      <c r="I165" s="23" t="str">
        <f t="shared" si="19"/>
        <v/>
      </c>
      <c r="J165" s="23" t="str">
        <f t="shared" si="20"/>
        <v/>
      </c>
      <c r="K165" s="23"/>
      <c r="L165" s="23"/>
      <c r="M165" s="23"/>
      <c r="N165" s="29"/>
      <c r="O165" s="29"/>
      <c r="P165" s="29"/>
      <c r="Q165" s="29"/>
      <c r="R165" s="29"/>
      <c r="S165" s="29"/>
      <c r="T165" s="29"/>
      <c r="U165" s="29"/>
      <c r="V165" s="29"/>
      <c r="W165" s="34"/>
      <c r="X165" s="29"/>
      <c r="Y165" s="29"/>
      <c r="Z165" s="29"/>
      <c r="AA165" s="29"/>
      <c r="AB165" s="29"/>
      <c r="AC165" s="29"/>
      <c r="AD165" t="str">
        <f t="shared" si="21"/>
        <v/>
      </c>
    </row>
    <row r="166" spans="1:30" x14ac:dyDescent="0.3">
      <c r="A166" s="23">
        <v>165</v>
      </c>
      <c r="B166" s="30"/>
      <c r="C166" s="30"/>
      <c r="D166" s="30"/>
      <c r="E166" s="24"/>
      <c r="F166" s="24"/>
      <c r="G166" s="34"/>
      <c r="H166" s="24"/>
      <c r="I166" s="23" t="str">
        <f t="shared" si="19"/>
        <v/>
      </c>
      <c r="J166" s="23" t="str">
        <f t="shared" si="20"/>
        <v/>
      </c>
      <c r="K166" s="23"/>
      <c r="L166" s="23"/>
      <c r="M166" s="23"/>
      <c r="N166" s="29"/>
      <c r="O166" s="29"/>
      <c r="P166" s="29"/>
      <c r="Q166" s="29"/>
      <c r="R166" s="29"/>
      <c r="S166" s="29"/>
      <c r="T166" s="29"/>
      <c r="U166" s="29"/>
      <c r="V166" s="29"/>
      <c r="W166" s="34"/>
      <c r="X166" s="29"/>
      <c r="Y166" s="29"/>
      <c r="Z166" s="29"/>
      <c r="AA166" s="29"/>
      <c r="AB166" s="29"/>
      <c r="AC166" s="29"/>
      <c r="AD166" t="str">
        <f t="shared" si="21"/>
        <v/>
      </c>
    </row>
    <row r="167" spans="1:30" x14ac:dyDescent="0.3">
      <c r="A167" s="23">
        <v>166</v>
      </c>
      <c r="B167" s="30"/>
      <c r="C167" s="30"/>
      <c r="D167" s="30"/>
      <c r="E167" s="24"/>
      <c r="F167" s="24"/>
      <c r="G167" s="34"/>
      <c r="H167" s="24"/>
      <c r="I167" s="23" t="str">
        <f t="shared" si="19"/>
        <v/>
      </c>
      <c r="J167" s="23" t="str">
        <f t="shared" si="20"/>
        <v/>
      </c>
      <c r="K167" s="23"/>
      <c r="L167" s="23"/>
      <c r="M167" s="23"/>
      <c r="N167" s="29"/>
      <c r="O167" s="29"/>
      <c r="P167" s="29"/>
      <c r="Q167" s="29"/>
      <c r="R167" s="29"/>
      <c r="S167" s="29"/>
      <c r="T167" s="29"/>
      <c r="U167" s="29"/>
      <c r="V167" s="29"/>
      <c r="W167" s="34"/>
      <c r="X167" s="29"/>
      <c r="Y167" s="29"/>
      <c r="Z167" s="29"/>
      <c r="AA167" s="29"/>
      <c r="AB167" s="29"/>
      <c r="AC167" s="29"/>
      <c r="AD167" t="str">
        <f t="shared" si="21"/>
        <v/>
      </c>
    </row>
    <row r="168" spans="1:30" x14ac:dyDescent="0.3">
      <c r="A168" s="23">
        <v>167</v>
      </c>
      <c r="B168" s="30"/>
      <c r="C168" s="30"/>
      <c r="D168" s="30"/>
      <c r="E168" s="24"/>
      <c r="F168" s="24"/>
      <c r="G168" s="34"/>
      <c r="H168" s="24"/>
      <c r="I168" s="23" t="str">
        <f t="shared" si="19"/>
        <v/>
      </c>
      <c r="J168" s="23" t="str">
        <f t="shared" si="20"/>
        <v/>
      </c>
      <c r="K168" s="23"/>
      <c r="L168" s="23"/>
      <c r="M168" s="23"/>
      <c r="N168" s="29"/>
      <c r="O168" s="29"/>
      <c r="P168" s="29"/>
      <c r="Q168" s="29"/>
      <c r="R168" s="29"/>
      <c r="S168" s="29"/>
      <c r="T168" s="29"/>
      <c r="U168" s="29"/>
      <c r="V168" s="29"/>
      <c r="W168" s="34"/>
      <c r="X168" s="29"/>
      <c r="Y168" s="29"/>
      <c r="Z168" s="29"/>
      <c r="AA168" s="29"/>
      <c r="AB168" s="29"/>
      <c r="AC168" s="29"/>
      <c r="AD168" t="str">
        <f t="shared" si="21"/>
        <v/>
      </c>
    </row>
    <row r="169" spans="1:30" x14ac:dyDescent="0.3">
      <c r="A169" s="23">
        <v>168</v>
      </c>
      <c r="B169" s="30"/>
      <c r="C169" s="30"/>
      <c r="D169" s="30"/>
      <c r="E169" s="24"/>
      <c r="F169" s="24"/>
      <c r="G169" s="34"/>
      <c r="H169" s="24"/>
      <c r="I169" s="23" t="str">
        <f t="shared" si="19"/>
        <v/>
      </c>
      <c r="J169" s="23" t="str">
        <f t="shared" si="20"/>
        <v/>
      </c>
      <c r="K169" s="23"/>
      <c r="L169" s="23"/>
      <c r="M169" s="23"/>
      <c r="N169" s="29"/>
      <c r="O169" s="29"/>
      <c r="P169" s="29"/>
      <c r="Q169" s="29"/>
      <c r="R169" s="29"/>
      <c r="S169" s="29"/>
      <c r="T169" s="29"/>
      <c r="U169" s="29"/>
      <c r="V169" s="29"/>
      <c r="W169" s="34"/>
      <c r="X169" s="29"/>
      <c r="Y169" s="29"/>
      <c r="Z169" s="29"/>
      <c r="AA169" s="29"/>
      <c r="AB169" s="29"/>
      <c r="AC169" s="29"/>
      <c r="AD169" t="str">
        <f t="shared" si="21"/>
        <v/>
      </c>
    </row>
    <row r="170" spans="1:30" x14ac:dyDescent="0.3">
      <c r="A170" s="23">
        <v>169</v>
      </c>
      <c r="B170" s="30"/>
      <c r="C170" s="30"/>
      <c r="D170" s="30"/>
      <c r="E170" s="24"/>
      <c r="F170" s="24"/>
      <c r="G170" s="34"/>
      <c r="H170" s="24"/>
      <c r="I170" s="23" t="str">
        <f t="shared" si="19"/>
        <v/>
      </c>
      <c r="J170" s="23" t="str">
        <f t="shared" si="20"/>
        <v/>
      </c>
      <c r="K170" s="23"/>
      <c r="L170" s="23"/>
      <c r="M170" s="23"/>
      <c r="N170" s="29"/>
      <c r="O170" s="29"/>
      <c r="P170" s="29"/>
      <c r="Q170" s="29"/>
      <c r="R170" s="29"/>
      <c r="S170" s="29"/>
      <c r="T170" s="29"/>
      <c r="U170" s="29"/>
      <c r="V170" s="29"/>
      <c r="W170" s="34"/>
      <c r="X170" s="29"/>
      <c r="Y170" s="29"/>
      <c r="Z170" s="29"/>
      <c r="AA170" s="29"/>
      <c r="AB170" s="29"/>
      <c r="AC170" s="29"/>
      <c r="AD170" t="str">
        <f t="shared" si="21"/>
        <v/>
      </c>
    </row>
    <row r="171" spans="1:30" x14ac:dyDescent="0.3">
      <c r="A171" s="23">
        <v>170</v>
      </c>
      <c r="B171" s="30"/>
      <c r="C171" s="30"/>
      <c r="D171" s="30"/>
      <c r="E171" s="24"/>
      <c r="F171" s="24"/>
      <c r="G171" s="34"/>
      <c r="H171" s="24"/>
      <c r="I171" s="23" t="str">
        <f t="shared" si="19"/>
        <v/>
      </c>
      <c r="J171" s="23" t="str">
        <f t="shared" si="20"/>
        <v/>
      </c>
      <c r="K171" s="23"/>
      <c r="L171" s="23"/>
      <c r="M171" s="23"/>
      <c r="N171" s="29"/>
      <c r="O171" s="29"/>
      <c r="P171" s="29"/>
      <c r="Q171" s="29"/>
      <c r="R171" s="29"/>
      <c r="S171" s="29"/>
      <c r="T171" s="29"/>
      <c r="U171" s="29"/>
      <c r="V171" s="29"/>
      <c r="W171" s="34"/>
      <c r="X171" s="29"/>
      <c r="Y171" s="29"/>
      <c r="Z171" s="29"/>
      <c r="AA171" s="29"/>
      <c r="AB171" s="29"/>
      <c r="AC171" s="29"/>
      <c r="AD171" t="str">
        <f t="shared" si="21"/>
        <v/>
      </c>
    </row>
    <row r="172" spans="1:30" x14ac:dyDescent="0.3">
      <c r="A172" s="23">
        <v>171</v>
      </c>
      <c r="B172" s="30"/>
      <c r="C172" s="30"/>
      <c r="D172" s="30"/>
      <c r="E172" s="24"/>
      <c r="F172" s="24"/>
      <c r="G172" s="34"/>
      <c r="H172" s="24"/>
      <c r="I172" s="23" t="str">
        <f t="shared" si="19"/>
        <v/>
      </c>
      <c r="J172" s="23" t="str">
        <f t="shared" si="20"/>
        <v/>
      </c>
      <c r="K172" s="23"/>
      <c r="L172" s="23"/>
      <c r="M172" s="23"/>
      <c r="N172" s="29"/>
      <c r="O172" s="29"/>
      <c r="P172" s="29"/>
      <c r="Q172" s="29"/>
      <c r="R172" s="29"/>
      <c r="S172" s="29"/>
      <c r="T172" s="29"/>
      <c r="U172" s="29"/>
      <c r="V172" s="29"/>
      <c r="W172" s="34"/>
      <c r="X172" s="29"/>
      <c r="Y172" s="29"/>
      <c r="Z172" s="29"/>
      <c r="AA172" s="29"/>
      <c r="AB172" s="29"/>
      <c r="AC172" s="29"/>
      <c r="AD172" t="str">
        <f t="shared" si="21"/>
        <v/>
      </c>
    </row>
    <row r="173" spans="1:30" x14ac:dyDescent="0.3">
      <c r="A173" s="23">
        <v>172</v>
      </c>
      <c r="B173" s="30"/>
      <c r="C173" s="30"/>
      <c r="D173" s="30"/>
      <c r="E173" s="24"/>
      <c r="F173" s="24"/>
      <c r="G173" s="34"/>
      <c r="H173" s="24"/>
      <c r="I173" s="23" t="str">
        <f t="shared" si="19"/>
        <v/>
      </c>
      <c r="J173" s="23" t="str">
        <f t="shared" si="20"/>
        <v/>
      </c>
      <c r="K173" s="23"/>
      <c r="L173" s="23"/>
      <c r="M173" s="23"/>
      <c r="N173" s="29"/>
      <c r="O173" s="29"/>
      <c r="P173" s="29"/>
      <c r="Q173" s="29"/>
      <c r="R173" s="29"/>
      <c r="S173" s="29"/>
      <c r="T173" s="29"/>
      <c r="U173" s="29"/>
      <c r="V173" s="29"/>
      <c r="W173" s="34"/>
      <c r="X173" s="29"/>
      <c r="Y173" s="29"/>
      <c r="Z173" s="29"/>
      <c r="AA173" s="29"/>
      <c r="AB173" s="29"/>
      <c r="AC173" s="29"/>
      <c r="AD173" t="str">
        <f t="shared" si="21"/>
        <v/>
      </c>
    </row>
    <row r="174" spans="1:30" x14ac:dyDescent="0.3">
      <c r="A174" s="23">
        <v>173</v>
      </c>
      <c r="B174" s="30"/>
      <c r="C174" s="30"/>
      <c r="D174" s="30"/>
      <c r="E174" s="24"/>
      <c r="F174" s="24"/>
      <c r="G174" s="34"/>
      <c r="H174" s="24"/>
      <c r="I174" s="23" t="str">
        <f t="shared" si="19"/>
        <v/>
      </c>
      <c r="J174" s="23" t="str">
        <f t="shared" si="20"/>
        <v/>
      </c>
      <c r="K174" s="23"/>
      <c r="L174" s="23"/>
      <c r="M174" s="23"/>
      <c r="N174" s="29"/>
      <c r="O174" s="29"/>
      <c r="P174" s="29"/>
      <c r="Q174" s="29"/>
      <c r="R174" s="29"/>
      <c r="S174" s="29"/>
      <c r="T174" s="29"/>
      <c r="U174" s="29"/>
      <c r="V174" s="29"/>
      <c r="W174" s="34"/>
      <c r="X174" s="29"/>
      <c r="Y174" s="29"/>
      <c r="Z174" s="29"/>
      <c r="AA174" s="29"/>
      <c r="AB174" s="29"/>
      <c r="AC174" s="29"/>
      <c r="AD174" t="str">
        <f t="shared" si="21"/>
        <v/>
      </c>
    </row>
    <row r="175" spans="1:30" x14ac:dyDescent="0.3">
      <c r="A175" s="23">
        <v>174</v>
      </c>
      <c r="B175" s="30"/>
      <c r="C175" s="30"/>
      <c r="D175" s="30"/>
      <c r="E175" s="24"/>
      <c r="F175" s="24"/>
      <c r="G175" s="34"/>
      <c r="H175" s="24"/>
      <c r="I175" s="23" t="str">
        <f t="shared" si="19"/>
        <v/>
      </c>
      <c r="J175" s="23" t="str">
        <f t="shared" si="20"/>
        <v/>
      </c>
      <c r="K175" s="23"/>
      <c r="L175" s="23"/>
      <c r="M175" s="23"/>
      <c r="N175" s="29"/>
      <c r="O175" s="29"/>
      <c r="P175" s="29"/>
      <c r="Q175" s="29"/>
      <c r="R175" s="29"/>
      <c r="S175" s="29"/>
      <c r="T175" s="29"/>
      <c r="U175" s="29"/>
      <c r="V175" s="29"/>
      <c r="W175" s="34"/>
      <c r="X175" s="29"/>
      <c r="Y175" s="29"/>
      <c r="Z175" s="29"/>
      <c r="AA175" s="29"/>
      <c r="AB175" s="29"/>
      <c r="AC175" s="29"/>
      <c r="AD175" t="str">
        <f t="shared" si="21"/>
        <v/>
      </c>
    </row>
    <row r="176" spans="1:30" x14ac:dyDescent="0.3">
      <c r="A176" s="23">
        <v>175</v>
      </c>
      <c r="B176" s="30"/>
      <c r="C176" s="30"/>
      <c r="D176" s="30"/>
      <c r="E176" s="24"/>
      <c r="F176" s="24"/>
      <c r="G176" s="34"/>
      <c r="H176" s="24"/>
      <c r="I176" s="23" t="str">
        <f t="shared" si="19"/>
        <v/>
      </c>
      <c r="J176" s="23" t="str">
        <f t="shared" si="20"/>
        <v/>
      </c>
      <c r="K176" s="23"/>
      <c r="L176" s="23"/>
      <c r="M176" s="23"/>
      <c r="N176" s="29"/>
      <c r="O176" s="29"/>
      <c r="P176" s="29"/>
      <c r="Q176" s="29"/>
      <c r="R176" s="29"/>
      <c r="S176" s="29"/>
      <c r="T176" s="29"/>
      <c r="U176" s="29"/>
      <c r="V176" s="29"/>
      <c r="W176" s="34"/>
      <c r="X176" s="29"/>
      <c r="Y176" s="29"/>
      <c r="Z176" s="29"/>
      <c r="AA176" s="29"/>
      <c r="AB176" s="29"/>
      <c r="AC176" s="29"/>
      <c r="AD176" t="str">
        <f t="shared" si="21"/>
        <v/>
      </c>
    </row>
    <row r="177" spans="1:30" x14ac:dyDescent="0.3">
      <c r="A177" s="23">
        <v>176</v>
      </c>
      <c r="B177" s="30"/>
      <c r="C177" s="30"/>
      <c r="D177" s="30"/>
      <c r="E177" s="24"/>
      <c r="F177" s="24"/>
      <c r="G177" s="34"/>
      <c r="H177" s="24"/>
      <c r="I177" s="23" t="str">
        <f t="shared" si="19"/>
        <v/>
      </c>
      <c r="J177" s="23" t="str">
        <f t="shared" si="20"/>
        <v/>
      </c>
      <c r="K177" s="23"/>
      <c r="L177" s="23"/>
      <c r="M177" s="23"/>
      <c r="N177" s="29"/>
      <c r="O177" s="29"/>
      <c r="P177" s="29"/>
      <c r="Q177" s="29"/>
      <c r="R177" s="29"/>
      <c r="S177" s="29"/>
      <c r="T177" s="29"/>
      <c r="U177" s="29"/>
      <c r="V177" s="29"/>
      <c r="W177" s="34"/>
      <c r="X177" s="29"/>
      <c r="Y177" s="29"/>
      <c r="Z177" s="29"/>
      <c r="AA177" s="29"/>
      <c r="AB177" s="29"/>
      <c r="AC177" s="29"/>
      <c r="AD177" t="str">
        <f t="shared" si="21"/>
        <v/>
      </c>
    </row>
    <row r="178" spans="1:30" x14ac:dyDescent="0.3">
      <c r="A178" s="23">
        <v>177</v>
      </c>
      <c r="B178" s="30"/>
      <c r="C178" s="30"/>
      <c r="D178" s="30"/>
      <c r="E178" s="24"/>
      <c r="F178" s="24"/>
      <c r="G178" s="34"/>
      <c r="H178" s="24"/>
      <c r="I178" s="23" t="str">
        <f t="shared" si="19"/>
        <v/>
      </c>
      <c r="J178" s="23" t="str">
        <f t="shared" si="20"/>
        <v/>
      </c>
      <c r="K178" s="23"/>
      <c r="L178" s="23"/>
      <c r="M178" s="23"/>
      <c r="N178" s="29"/>
      <c r="O178" s="29"/>
      <c r="P178" s="29"/>
      <c r="Q178" s="29"/>
      <c r="R178" s="29"/>
      <c r="S178" s="29"/>
      <c r="T178" s="29"/>
      <c r="U178" s="29"/>
      <c r="V178" s="29"/>
      <c r="W178" s="34"/>
      <c r="X178" s="29"/>
      <c r="Y178" s="29"/>
      <c r="Z178" s="29"/>
      <c r="AA178" s="29"/>
      <c r="AB178" s="29"/>
      <c r="AC178" s="29"/>
      <c r="AD178" t="str">
        <f t="shared" si="21"/>
        <v/>
      </c>
    </row>
    <row r="179" spans="1:30" x14ac:dyDescent="0.3">
      <c r="A179" s="23">
        <v>178</v>
      </c>
      <c r="B179" s="30"/>
      <c r="C179" s="30"/>
      <c r="D179" s="30"/>
      <c r="E179" s="24"/>
      <c r="F179" s="24"/>
      <c r="G179" s="34"/>
      <c r="H179" s="24"/>
      <c r="I179" s="23" t="str">
        <f t="shared" si="19"/>
        <v/>
      </c>
      <c r="J179" s="23" t="str">
        <f t="shared" si="20"/>
        <v/>
      </c>
      <c r="K179" s="23"/>
      <c r="L179" s="23"/>
      <c r="M179" s="23"/>
      <c r="N179" s="29"/>
      <c r="O179" s="29"/>
      <c r="P179" s="29"/>
      <c r="Q179" s="29"/>
      <c r="R179" s="29"/>
      <c r="S179" s="29"/>
      <c r="T179" s="29"/>
      <c r="U179" s="29"/>
      <c r="V179" s="29"/>
      <c r="W179" s="34"/>
      <c r="X179" s="29"/>
      <c r="Y179" s="29"/>
      <c r="Z179" s="29"/>
      <c r="AA179" s="29"/>
      <c r="AB179" s="29"/>
      <c r="AC179" s="29"/>
      <c r="AD179" t="str">
        <f t="shared" si="21"/>
        <v/>
      </c>
    </row>
    <row r="180" spans="1:30" x14ac:dyDescent="0.3">
      <c r="A180" s="23">
        <v>179</v>
      </c>
      <c r="B180" s="30"/>
      <c r="C180" s="30"/>
      <c r="D180" s="30"/>
      <c r="E180" s="24"/>
      <c r="F180" s="24"/>
      <c r="G180" s="34"/>
      <c r="H180" s="24"/>
      <c r="I180" s="23" t="str">
        <f t="shared" si="19"/>
        <v/>
      </c>
      <c r="J180" s="23" t="str">
        <f t="shared" si="20"/>
        <v/>
      </c>
      <c r="K180" s="23"/>
      <c r="L180" s="23"/>
      <c r="M180" s="23"/>
      <c r="N180" s="29"/>
      <c r="O180" s="29"/>
      <c r="P180" s="29"/>
      <c r="Q180" s="29"/>
      <c r="R180" s="29"/>
      <c r="S180" s="29"/>
      <c r="T180" s="29"/>
      <c r="U180" s="29"/>
      <c r="V180" s="29"/>
      <c r="W180" s="34"/>
      <c r="X180" s="29"/>
      <c r="Y180" s="29"/>
      <c r="Z180" s="29"/>
      <c r="AA180" s="29"/>
      <c r="AB180" s="29"/>
      <c r="AC180" s="29"/>
      <c r="AD180" t="str">
        <f t="shared" si="21"/>
        <v/>
      </c>
    </row>
    <row r="181" spans="1:30" x14ac:dyDescent="0.3">
      <c r="A181" s="23">
        <v>180</v>
      </c>
      <c r="B181" s="30"/>
      <c r="C181" s="30"/>
      <c r="D181" s="30"/>
      <c r="E181" s="24"/>
      <c r="F181" s="24"/>
      <c r="G181" s="34"/>
      <c r="H181" s="24"/>
      <c r="I181" s="23" t="str">
        <f t="shared" si="19"/>
        <v/>
      </c>
      <c r="J181" s="23" t="str">
        <f t="shared" si="20"/>
        <v/>
      </c>
      <c r="K181" s="23"/>
      <c r="L181" s="23"/>
      <c r="M181" s="23"/>
      <c r="N181" s="29"/>
      <c r="O181" s="29"/>
      <c r="P181" s="29"/>
      <c r="Q181" s="29"/>
      <c r="R181" s="29"/>
      <c r="S181" s="29"/>
      <c r="T181" s="29"/>
      <c r="U181" s="29"/>
      <c r="V181" s="29"/>
      <c r="W181" s="34"/>
      <c r="X181" s="29"/>
      <c r="Y181" s="29"/>
      <c r="Z181" s="29"/>
      <c r="AA181" s="29"/>
      <c r="AB181" s="29"/>
      <c r="AC181" s="29"/>
      <c r="AD181" t="str">
        <f t="shared" si="21"/>
        <v/>
      </c>
    </row>
    <row r="182" spans="1:30" x14ac:dyDescent="0.3">
      <c r="A182" s="23">
        <v>181</v>
      </c>
      <c r="B182" s="30"/>
      <c r="C182" s="30"/>
      <c r="D182" s="30"/>
      <c r="E182" s="24"/>
      <c r="F182" s="24"/>
      <c r="G182" s="34"/>
      <c r="H182" s="24"/>
      <c r="I182" s="23" t="str">
        <f t="shared" si="19"/>
        <v/>
      </c>
      <c r="J182" s="23" t="str">
        <f t="shared" si="20"/>
        <v/>
      </c>
      <c r="K182" s="23"/>
      <c r="L182" s="23"/>
      <c r="M182" s="23"/>
      <c r="N182" s="29"/>
      <c r="O182" s="29"/>
      <c r="P182" s="29"/>
      <c r="Q182" s="29"/>
      <c r="R182" s="29"/>
      <c r="S182" s="29"/>
      <c r="T182" s="29"/>
      <c r="U182" s="29"/>
      <c r="V182" s="29"/>
      <c r="W182" s="34"/>
      <c r="X182" s="29"/>
      <c r="Y182" s="29"/>
      <c r="Z182" s="29"/>
      <c r="AA182" s="29"/>
      <c r="AB182" s="29"/>
      <c r="AC182" s="29"/>
      <c r="AD182" t="str">
        <f t="shared" si="21"/>
        <v/>
      </c>
    </row>
    <row r="183" spans="1:30" x14ac:dyDescent="0.3">
      <c r="A183" s="23">
        <v>182</v>
      </c>
      <c r="B183" s="30"/>
      <c r="C183" s="30"/>
      <c r="D183" s="30"/>
      <c r="E183" s="24"/>
      <c r="F183" s="24"/>
      <c r="G183" s="34"/>
      <c r="H183" s="24"/>
      <c r="I183" s="23" t="str">
        <f t="shared" si="19"/>
        <v/>
      </c>
      <c r="J183" s="23" t="str">
        <f t="shared" si="20"/>
        <v/>
      </c>
      <c r="K183" s="23"/>
      <c r="L183" s="23"/>
      <c r="M183" s="23"/>
      <c r="N183" s="29"/>
      <c r="O183" s="29"/>
      <c r="P183" s="29"/>
      <c r="Q183" s="29"/>
      <c r="R183" s="29"/>
      <c r="S183" s="29"/>
      <c r="T183" s="29"/>
      <c r="U183" s="29"/>
      <c r="V183" s="29"/>
      <c r="W183" s="34"/>
      <c r="X183" s="29"/>
      <c r="Y183" s="29"/>
      <c r="Z183" s="29"/>
      <c r="AA183" s="29"/>
      <c r="AB183" s="29"/>
      <c r="AC183" s="29"/>
      <c r="AD183" t="str">
        <f t="shared" si="21"/>
        <v/>
      </c>
    </row>
    <row r="184" spans="1:30" x14ac:dyDescent="0.3">
      <c r="A184" s="23">
        <v>183</v>
      </c>
      <c r="B184" s="30"/>
      <c r="C184" s="30"/>
      <c r="D184" s="30"/>
      <c r="E184" s="24"/>
      <c r="F184" s="24"/>
      <c r="G184" s="34"/>
      <c r="H184" s="24"/>
      <c r="I184" s="23" t="str">
        <f t="shared" si="19"/>
        <v/>
      </c>
      <c r="J184" s="23" t="str">
        <f t="shared" si="20"/>
        <v/>
      </c>
      <c r="K184" s="23"/>
      <c r="L184" s="23"/>
      <c r="M184" s="23"/>
      <c r="N184" s="29"/>
      <c r="O184" s="29"/>
      <c r="P184" s="29"/>
      <c r="Q184" s="29"/>
      <c r="R184" s="29"/>
      <c r="S184" s="29"/>
      <c r="T184" s="29"/>
      <c r="U184" s="29"/>
      <c r="V184" s="29"/>
      <c r="W184" s="34"/>
      <c r="X184" s="29"/>
      <c r="Y184" s="29"/>
      <c r="Z184" s="29"/>
      <c r="AA184" s="29"/>
      <c r="AB184" s="29"/>
      <c r="AC184" s="29"/>
      <c r="AD184" t="str">
        <f t="shared" si="21"/>
        <v/>
      </c>
    </row>
    <row r="185" spans="1:30" x14ac:dyDescent="0.3">
      <c r="A185" s="23">
        <v>184</v>
      </c>
      <c r="B185" s="30"/>
      <c r="C185" s="30"/>
      <c r="D185" s="30"/>
      <c r="E185" s="24"/>
      <c r="F185" s="24"/>
      <c r="G185" s="34"/>
      <c r="H185" s="24"/>
      <c r="I185" s="23" t="str">
        <f t="shared" si="19"/>
        <v/>
      </c>
      <c r="J185" s="23" t="str">
        <f t="shared" si="20"/>
        <v/>
      </c>
      <c r="K185" s="23"/>
      <c r="L185" s="23"/>
      <c r="M185" s="23"/>
      <c r="N185" s="29"/>
      <c r="O185" s="29"/>
      <c r="P185" s="29"/>
      <c r="Q185" s="29"/>
      <c r="R185" s="29"/>
      <c r="S185" s="29"/>
      <c r="T185" s="29"/>
      <c r="U185" s="29"/>
      <c r="V185" s="29"/>
      <c r="W185" s="34"/>
      <c r="X185" s="29"/>
      <c r="Y185" s="29"/>
      <c r="Z185" s="29"/>
      <c r="AA185" s="29"/>
      <c r="AB185" s="29"/>
      <c r="AC185" s="29"/>
      <c r="AD185" t="str">
        <f t="shared" si="21"/>
        <v/>
      </c>
    </row>
    <row r="186" spans="1:30" x14ac:dyDescent="0.3">
      <c r="A186" s="23">
        <v>185</v>
      </c>
      <c r="B186" s="30"/>
      <c r="C186" s="30"/>
      <c r="D186" s="30"/>
      <c r="E186" s="24"/>
      <c r="F186" s="24"/>
      <c r="G186" s="34"/>
      <c r="H186" s="24"/>
      <c r="I186" s="23" t="str">
        <f t="shared" si="19"/>
        <v/>
      </c>
      <c r="J186" s="23" t="str">
        <f t="shared" si="20"/>
        <v/>
      </c>
      <c r="K186" s="23"/>
      <c r="L186" s="23"/>
      <c r="M186" s="23"/>
      <c r="N186" s="29"/>
      <c r="O186" s="29"/>
      <c r="P186" s="29"/>
      <c r="Q186" s="29"/>
      <c r="R186" s="29"/>
      <c r="S186" s="29"/>
      <c r="T186" s="29"/>
      <c r="U186" s="29"/>
      <c r="V186" s="29"/>
      <c r="W186" s="34"/>
      <c r="X186" s="29"/>
      <c r="Y186" s="29"/>
      <c r="Z186" s="29"/>
      <c r="AA186" s="29"/>
      <c r="AB186" s="29"/>
      <c r="AC186" s="29"/>
      <c r="AD186" t="str">
        <f t="shared" si="21"/>
        <v/>
      </c>
    </row>
    <row r="187" spans="1:30" x14ac:dyDescent="0.3">
      <c r="A187" s="23">
        <v>186</v>
      </c>
      <c r="B187" s="30"/>
      <c r="C187" s="30"/>
      <c r="D187" s="30"/>
      <c r="E187" s="24"/>
      <c r="F187" s="24"/>
      <c r="G187" s="34"/>
      <c r="H187" s="24"/>
      <c r="I187" s="23" t="str">
        <f t="shared" si="19"/>
        <v/>
      </c>
      <c r="J187" s="23" t="str">
        <f t="shared" si="20"/>
        <v/>
      </c>
      <c r="K187" s="23"/>
      <c r="L187" s="23"/>
      <c r="M187" s="23"/>
      <c r="N187" s="29"/>
      <c r="O187" s="29"/>
      <c r="P187" s="29"/>
      <c r="Q187" s="29"/>
      <c r="R187" s="29"/>
      <c r="S187" s="29"/>
      <c r="T187" s="29"/>
      <c r="U187" s="29"/>
      <c r="V187" s="29"/>
      <c r="W187" s="34"/>
      <c r="X187" s="29"/>
      <c r="Y187" s="29"/>
      <c r="Z187" s="29"/>
      <c r="AA187" s="29"/>
      <c r="AB187" s="29"/>
      <c r="AC187" s="29"/>
      <c r="AD187" t="str">
        <f t="shared" si="21"/>
        <v/>
      </c>
    </row>
    <row r="188" spans="1:30" x14ac:dyDescent="0.3">
      <c r="A188" s="23">
        <v>187</v>
      </c>
      <c r="B188" s="30"/>
      <c r="C188" s="30"/>
      <c r="D188" s="30"/>
      <c r="E188" s="24"/>
      <c r="F188" s="24"/>
      <c r="G188" s="34"/>
      <c r="H188" s="24"/>
      <c r="I188" s="23" t="str">
        <f t="shared" si="19"/>
        <v/>
      </c>
      <c r="J188" s="23" t="str">
        <f t="shared" si="20"/>
        <v/>
      </c>
      <c r="K188" s="23"/>
      <c r="L188" s="23"/>
      <c r="M188" s="23"/>
      <c r="N188" s="29"/>
      <c r="O188" s="29"/>
      <c r="P188" s="29"/>
      <c r="Q188" s="29"/>
      <c r="R188" s="29"/>
      <c r="S188" s="29"/>
      <c r="T188" s="29"/>
      <c r="U188" s="29"/>
      <c r="V188" s="29"/>
      <c r="W188" s="34"/>
      <c r="X188" s="29"/>
      <c r="Y188" s="29"/>
      <c r="Z188" s="29"/>
      <c r="AA188" s="29"/>
      <c r="AB188" s="29"/>
      <c r="AC188" s="29"/>
      <c r="AD188" t="str">
        <f t="shared" si="21"/>
        <v/>
      </c>
    </row>
    <row r="189" spans="1:30" x14ac:dyDescent="0.3">
      <c r="A189" s="23">
        <v>188</v>
      </c>
      <c r="B189" s="30"/>
      <c r="C189" s="30"/>
      <c r="D189" s="30"/>
      <c r="E189" s="24"/>
      <c r="F189" s="24"/>
      <c r="G189" s="34"/>
      <c r="H189" s="24"/>
      <c r="I189" s="23" t="str">
        <f t="shared" si="19"/>
        <v/>
      </c>
      <c r="J189" s="23" t="str">
        <f t="shared" si="20"/>
        <v/>
      </c>
      <c r="K189" s="23"/>
      <c r="L189" s="23"/>
      <c r="M189" s="23"/>
      <c r="N189" s="29"/>
      <c r="O189" s="29"/>
      <c r="P189" s="29"/>
      <c r="Q189" s="29"/>
      <c r="R189" s="29"/>
      <c r="S189" s="29"/>
      <c r="T189" s="29"/>
      <c r="U189" s="29"/>
      <c r="V189" s="29"/>
      <c r="W189" s="34"/>
      <c r="X189" s="29"/>
      <c r="Y189" s="29"/>
      <c r="Z189" s="29"/>
      <c r="AA189" s="29"/>
      <c r="AB189" s="29"/>
      <c r="AC189" s="29"/>
      <c r="AD189" t="str">
        <f t="shared" si="21"/>
        <v/>
      </c>
    </row>
    <row r="190" spans="1:30" x14ac:dyDescent="0.3">
      <c r="A190" s="23">
        <v>189</v>
      </c>
      <c r="B190" s="30"/>
      <c r="C190" s="30"/>
      <c r="D190" s="30"/>
      <c r="E190" s="24"/>
      <c r="F190" s="24"/>
      <c r="G190" s="34"/>
      <c r="H190" s="24"/>
      <c r="I190" s="23" t="str">
        <f t="shared" si="19"/>
        <v/>
      </c>
      <c r="J190" s="23" t="str">
        <f t="shared" si="20"/>
        <v/>
      </c>
      <c r="K190" s="23"/>
      <c r="L190" s="23"/>
      <c r="M190" s="23"/>
      <c r="N190" s="29"/>
      <c r="O190" s="29"/>
      <c r="P190" s="29"/>
      <c r="Q190" s="29"/>
      <c r="R190" s="29"/>
      <c r="S190" s="29"/>
      <c r="T190" s="29"/>
      <c r="U190" s="29"/>
      <c r="V190" s="29"/>
      <c r="W190" s="34"/>
      <c r="X190" s="29"/>
      <c r="Y190" s="29"/>
      <c r="Z190" s="29"/>
      <c r="AA190" s="29"/>
      <c r="AB190" s="29"/>
      <c r="AC190" s="29"/>
      <c r="AD190" t="str">
        <f t="shared" si="21"/>
        <v/>
      </c>
    </row>
    <row r="191" spans="1:30" x14ac:dyDescent="0.3">
      <c r="A191" s="23">
        <v>190</v>
      </c>
      <c r="B191" s="30"/>
      <c r="C191" s="30"/>
      <c r="D191" s="30"/>
      <c r="E191" s="24"/>
      <c r="F191" s="24"/>
      <c r="G191" s="34"/>
      <c r="H191" s="24"/>
      <c r="I191" s="23" t="str">
        <f t="shared" si="19"/>
        <v/>
      </c>
      <c r="J191" s="23" t="str">
        <f t="shared" si="20"/>
        <v/>
      </c>
      <c r="K191" s="23"/>
      <c r="L191" s="23"/>
      <c r="M191" s="23"/>
      <c r="N191" s="29"/>
      <c r="O191" s="29"/>
      <c r="P191" s="29"/>
      <c r="Q191" s="29"/>
      <c r="R191" s="29"/>
      <c r="S191" s="29"/>
      <c r="T191" s="29"/>
      <c r="U191" s="29"/>
      <c r="V191" s="29"/>
      <c r="W191" s="34"/>
      <c r="X191" s="29"/>
      <c r="Y191" s="29"/>
      <c r="Z191" s="29"/>
      <c r="AA191" s="29"/>
      <c r="AB191" s="29"/>
      <c r="AC191" s="29"/>
      <c r="AD191" t="str">
        <f t="shared" si="21"/>
        <v/>
      </c>
    </row>
    <row r="192" spans="1:30" x14ac:dyDescent="0.3">
      <c r="A192" s="23">
        <v>191</v>
      </c>
      <c r="B192" s="30"/>
      <c r="C192" s="30"/>
      <c r="D192" s="30"/>
      <c r="E192" s="24"/>
      <c r="F192" s="24"/>
      <c r="G192" s="34"/>
      <c r="H192" s="24"/>
      <c r="I192" s="23" t="str">
        <f t="shared" si="19"/>
        <v/>
      </c>
      <c r="J192" s="23" t="str">
        <f t="shared" si="20"/>
        <v/>
      </c>
      <c r="K192" s="23"/>
      <c r="L192" s="23"/>
      <c r="M192" s="23"/>
      <c r="N192" s="29"/>
      <c r="O192" s="29"/>
      <c r="P192" s="29"/>
      <c r="Q192" s="29"/>
      <c r="R192" s="29"/>
      <c r="S192" s="29"/>
      <c r="T192" s="29"/>
      <c r="U192" s="29"/>
      <c r="V192" s="29"/>
      <c r="W192" s="34"/>
      <c r="X192" s="29"/>
      <c r="Y192" s="29"/>
      <c r="Z192" s="29"/>
      <c r="AA192" s="29"/>
      <c r="AB192" s="29"/>
      <c r="AC192" s="29"/>
      <c r="AD192" t="str">
        <f t="shared" si="21"/>
        <v/>
      </c>
    </row>
    <row r="193" spans="1:30" x14ac:dyDescent="0.3">
      <c r="A193" s="23">
        <v>192</v>
      </c>
      <c r="B193" s="30"/>
      <c r="C193" s="30"/>
      <c r="D193" s="30"/>
      <c r="E193" s="24"/>
      <c r="F193" s="24"/>
      <c r="G193" s="34"/>
      <c r="H193" s="24"/>
      <c r="I193" s="23" t="str">
        <f t="shared" si="19"/>
        <v/>
      </c>
      <c r="J193" s="23" t="str">
        <f t="shared" si="20"/>
        <v/>
      </c>
      <c r="K193" s="23"/>
      <c r="L193" s="23"/>
      <c r="M193" s="23"/>
      <c r="N193" s="29"/>
      <c r="O193" s="29"/>
      <c r="P193" s="29"/>
      <c r="Q193" s="29"/>
      <c r="R193" s="29"/>
      <c r="S193" s="29"/>
      <c r="T193" s="29"/>
      <c r="U193" s="29"/>
      <c r="V193" s="29"/>
      <c r="W193" s="34"/>
      <c r="X193" s="29"/>
      <c r="Y193" s="29"/>
      <c r="Z193" s="29"/>
      <c r="AA193" s="29"/>
      <c r="AB193" s="29"/>
      <c r="AC193" s="29"/>
      <c r="AD193" t="str">
        <f t="shared" si="21"/>
        <v/>
      </c>
    </row>
    <row r="194" spans="1:30" x14ac:dyDescent="0.3">
      <c r="A194" s="23">
        <v>193</v>
      </c>
      <c r="B194" s="30"/>
      <c r="C194" s="30"/>
      <c r="D194" s="30"/>
      <c r="E194" s="24"/>
      <c r="F194" s="24"/>
      <c r="G194" s="34"/>
      <c r="H194" s="24"/>
      <c r="I194" s="23" t="str">
        <f t="shared" ref="I194:I257" si="22">IF($H194="","",IF(UPPER(TRIM($H194))="YES","YES",IF($N194&gt;=BASIC_CAP,"NO","YES")))</f>
        <v/>
      </c>
      <c r="J194" s="23" t="str">
        <f t="shared" ref="J194:J257" si="23">IF($G194="","",IF($G194&lt;=ESIC_LIMIT,"YES","NO"))</f>
        <v/>
      </c>
      <c r="K194" s="23"/>
      <c r="L194" s="23"/>
      <c r="M194" s="23"/>
      <c r="N194" s="29"/>
      <c r="O194" s="29"/>
      <c r="P194" s="29"/>
      <c r="Q194" s="29"/>
      <c r="R194" s="29"/>
      <c r="S194" s="29"/>
      <c r="T194" s="29"/>
      <c r="U194" s="29"/>
      <c r="V194" s="29"/>
      <c r="W194" s="34"/>
      <c r="X194" s="29"/>
      <c r="Y194" s="29"/>
      <c r="Z194" s="29"/>
      <c r="AA194" s="29"/>
      <c r="AB194" s="29"/>
      <c r="AC194" s="29"/>
      <c r="AD194" t="str">
        <f t="shared" ref="AD194:AD257" si="24">IF(G194="","",IF(G194&lt;F194,"⚠ Gross &lt; Minimum Wage",""))</f>
        <v/>
      </c>
    </row>
    <row r="195" spans="1:30" x14ac:dyDescent="0.3">
      <c r="A195" s="23">
        <v>194</v>
      </c>
      <c r="B195" s="30"/>
      <c r="C195" s="30"/>
      <c r="D195" s="30"/>
      <c r="E195" s="24"/>
      <c r="F195" s="24"/>
      <c r="G195" s="34"/>
      <c r="H195" s="24"/>
      <c r="I195" s="23" t="str">
        <f t="shared" si="22"/>
        <v/>
      </c>
      <c r="J195" s="23" t="str">
        <f t="shared" si="23"/>
        <v/>
      </c>
      <c r="K195" s="23"/>
      <c r="L195" s="23"/>
      <c r="M195" s="23"/>
      <c r="N195" s="29"/>
      <c r="O195" s="29"/>
      <c r="P195" s="29"/>
      <c r="Q195" s="29"/>
      <c r="R195" s="29"/>
      <c r="S195" s="29"/>
      <c r="T195" s="29"/>
      <c r="U195" s="29"/>
      <c r="V195" s="29"/>
      <c r="W195" s="34"/>
      <c r="X195" s="29"/>
      <c r="Y195" s="29"/>
      <c r="Z195" s="29"/>
      <c r="AA195" s="29"/>
      <c r="AB195" s="29"/>
      <c r="AC195" s="29"/>
      <c r="AD195" t="str">
        <f t="shared" si="24"/>
        <v/>
      </c>
    </row>
    <row r="196" spans="1:30" x14ac:dyDescent="0.3">
      <c r="A196" s="23">
        <v>195</v>
      </c>
      <c r="B196" s="30"/>
      <c r="C196" s="30"/>
      <c r="D196" s="30"/>
      <c r="E196" s="24"/>
      <c r="F196" s="24"/>
      <c r="G196" s="34"/>
      <c r="H196" s="24"/>
      <c r="I196" s="23" t="str">
        <f t="shared" si="22"/>
        <v/>
      </c>
      <c r="J196" s="23" t="str">
        <f t="shared" si="23"/>
        <v/>
      </c>
      <c r="K196" s="23"/>
      <c r="L196" s="23"/>
      <c r="M196" s="23"/>
      <c r="N196" s="29"/>
      <c r="O196" s="29"/>
      <c r="P196" s="29"/>
      <c r="Q196" s="29"/>
      <c r="R196" s="29"/>
      <c r="S196" s="29"/>
      <c r="T196" s="29"/>
      <c r="U196" s="29"/>
      <c r="V196" s="29"/>
      <c r="W196" s="34"/>
      <c r="X196" s="29"/>
      <c r="Y196" s="29"/>
      <c r="Z196" s="29"/>
      <c r="AA196" s="29"/>
      <c r="AB196" s="29"/>
      <c r="AC196" s="29"/>
      <c r="AD196" t="str">
        <f t="shared" si="24"/>
        <v/>
      </c>
    </row>
    <row r="197" spans="1:30" x14ac:dyDescent="0.3">
      <c r="A197" s="23">
        <v>196</v>
      </c>
      <c r="B197" s="30"/>
      <c r="C197" s="30"/>
      <c r="D197" s="30"/>
      <c r="E197" s="24"/>
      <c r="F197" s="24"/>
      <c r="G197" s="34"/>
      <c r="H197" s="24"/>
      <c r="I197" s="23" t="str">
        <f t="shared" si="22"/>
        <v/>
      </c>
      <c r="J197" s="23" t="str">
        <f t="shared" si="23"/>
        <v/>
      </c>
      <c r="K197" s="23"/>
      <c r="L197" s="23"/>
      <c r="M197" s="23"/>
      <c r="N197" s="29"/>
      <c r="O197" s="29"/>
      <c r="P197" s="29"/>
      <c r="Q197" s="29"/>
      <c r="R197" s="29"/>
      <c r="S197" s="29"/>
      <c r="T197" s="29"/>
      <c r="U197" s="29"/>
      <c r="V197" s="29"/>
      <c r="W197" s="34"/>
      <c r="X197" s="29"/>
      <c r="Y197" s="29"/>
      <c r="Z197" s="29"/>
      <c r="AA197" s="29"/>
      <c r="AB197" s="29"/>
      <c r="AC197" s="29"/>
      <c r="AD197" t="str">
        <f t="shared" si="24"/>
        <v/>
      </c>
    </row>
    <row r="198" spans="1:30" x14ac:dyDescent="0.3">
      <c r="A198" s="23">
        <v>197</v>
      </c>
      <c r="B198" s="30"/>
      <c r="C198" s="30"/>
      <c r="D198" s="30"/>
      <c r="E198" s="24"/>
      <c r="F198" s="24"/>
      <c r="G198" s="34"/>
      <c r="H198" s="24"/>
      <c r="I198" s="23" t="str">
        <f t="shared" si="22"/>
        <v/>
      </c>
      <c r="J198" s="23" t="str">
        <f t="shared" si="23"/>
        <v/>
      </c>
      <c r="K198" s="23"/>
      <c r="L198" s="23"/>
      <c r="M198" s="23"/>
      <c r="N198" s="29"/>
      <c r="O198" s="29"/>
      <c r="P198" s="29"/>
      <c r="Q198" s="29"/>
      <c r="R198" s="29"/>
      <c r="S198" s="29"/>
      <c r="T198" s="29"/>
      <c r="U198" s="29"/>
      <c r="V198" s="29"/>
      <c r="W198" s="34"/>
      <c r="X198" s="29"/>
      <c r="Y198" s="29"/>
      <c r="Z198" s="29"/>
      <c r="AA198" s="29"/>
      <c r="AB198" s="29"/>
      <c r="AC198" s="29"/>
      <c r="AD198" t="str">
        <f t="shared" si="24"/>
        <v/>
      </c>
    </row>
    <row r="199" spans="1:30" x14ac:dyDescent="0.3">
      <c r="A199" s="23">
        <v>198</v>
      </c>
      <c r="B199" s="30"/>
      <c r="C199" s="30"/>
      <c r="D199" s="30"/>
      <c r="E199" s="24"/>
      <c r="F199" s="24"/>
      <c r="G199" s="34"/>
      <c r="H199" s="24"/>
      <c r="I199" s="23" t="str">
        <f t="shared" si="22"/>
        <v/>
      </c>
      <c r="J199" s="23" t="str">
        <f t="shared" si="23"/>
        <v/>
      </c>
      <c r="K199" s="23"/>
      <c r="L199" s="23"/>
      <c r="M199" s="23"/>
      <c r="N199" s="29"/>
      <c r="O199" s="29"/>
      <c r="P199" s="29"/>
      <c r="Q199" s="29"/>
      <c r="R199" s="29"/>
      <c r="S199" s="29"/>
      <c r="T199" s="29"/>
      <c r="U199" s="29"/>
      <c r="V199" s="29"/>
      <c r="W199" s="34"/>
      <c r="X199" s="29"/>
      <c r="Y199" s="29"/>
      <c r="Z199" s="29"/>
      <c r="AA199" s="29"/>
      <c r="AB199" s="29"/>
      <c r="AC199" s="29"/>
      <c r="AD199" t="str">
        <f t="shared" si="24"/>
        <v/>
      </c>
    </row>
    <row r="200" spans="1:30" x14ac:dyDescent="0.3">
      <c r="A200" s="23">
        <v>199</v>
      </c>
      <c r="B200" s="30"/>
      <c r="C200" s="30"/>
      <c r="D200" s="30"/>
      <c r="E200" s="24"/>
      <c r="F200" s="24"/>
      <c r="G200" s="34"/>
      <c r="H200" s="24"/>
      <c r="I200" s="23" t="str">
        <f t="shared" si="22"/>
        <v/>
      </c>
      <c r="J200" s="23" t="str">
        <f t="shared" si="23"/>
        <v/>
      </c>
      <c r="K200" s="23"/>
      <c r="L200" s="23"/>
      <c r="M200" s="23"/>
      <c r="N200" s="29"/>
      <c r="O200" s="29"/>
      <c r="P200" s="29"/>
      <c r="Q200" s="29"/>
      <c r="R200" s="29"/>
      <c r="S200" s="29"/>
      <c r="T200" s="29"/>
      <c r="U200" s="29"/>
      <c r="V200" s="29"/>
      <c r="W200" s="34"/>
      <c r="X200" s="29"/>
      <c r="Y200" s="29"/>
      <c r="Z200" s="29"/>
      <c r="AA200" s="29"/>
      <c r="AB200" s="29"/>
      <c r="AC200" s="29"/>
      <c r="AD200" t="str">
        <f t="shared" si="24"/>
        <v/>
      </c>
    </row>
    <row r="201" spans="1:30" x14ac:dyDescent="0.3">
      <c r="A201" s="23">
        <v>200</v>
      </c>
      <c r="B201" s="30"/>
      <c r="C201" s="30"/>
      <c r="D201" s="30"/>
      <c r="E201" s="24"/>
      <c r="F201" s="24"/>
      <c r="G201" s="34"/>
      <c r="H201" s="24"/>
      <c r="I201" s="23" t="str">
        <f t="shared" si="22"/>
        <v/>
      </c>
      <c r="J201" s="23" t="str">
        <f t="shared" si="23"/>
        <v/>
      </c>
      <c r="K201" s="23"/>
      <c r="L201" s="23"/>
      <c r="M201" s="23"/>
      <c r="N201" s="29"/>
      <c r="O201" s="29"/>
      <c r="P201" s="29"/>
      <c r="Q201" s="29"/>
      <c r="R201" s="29"/>
      <c r="S201" s="29"/>
      <c r="T201" s="29"/>
      <c r="U201" s="29"/>
      <c r="V201" s="29"/>
      <c r="W201" s="34"/>
      <c r="X201" s="29"/>
      <c r="Y201" s="29"/>
      <c r="Z201" s="29"/>
      <c r="AA201" s="29"/>
      <c r="AB201" s="29"/>
      <c r="AC201" s="29"/>
      <c r="AD201" t="str">
        <f t="shared" si="24"/>
        <v/>
      </c>
    </row>
    <row r="202" spans="1:30" x14ac:dyDescent="0.3">
      <c r="A202" s="23">
        <v>201</v>
      </c>
      <c r="B202" s="30"/>
      <c r="C202" s="30"/>
      <c r="D202" s="30"/>
      <c r="E202" s="24"/>
      <c r="F202" s="24"/>
      <c r="G202" s="34"/>
      <c r="H202" s="24"/>
      <c r="I202" s="23" t="str">
        <f t="shared" si="22"/>
        <v/>
      </c>
      <c r="J202" s="23" t="str">
        <f t="shared" si="23"/>
        <v/>
      </c>
      <c r="K202" s="23"/>
      <c r="L202" s="23"/>
      <c r="M202" s="23"/>
      <c r="N202" s="29"/>
      <c r="O202" s="29"/>
      <c r="P202" s="29"/>
      <c r="Q202" s="29"/>
      <c r="R202" s="29"/>
      <c r="S202" s="29"/>
      <c r="T202" s="29"/>
      <c r="U202" s="29"/>
      <c r="V202" s="29"/>
      <c r="W202" s="34"/>
      <c r="X202" s="29"/>
      <c r="Y202" s="29"/>
      <c r="Z202" s="29"/>
      <c r="AA202" s="29"/>
      <c r="AB202" s="29"/>
      <c r="AC202" s="29"/>
      <c r="AD202" t="str">
        <f t="shared" si="24"/>
        <v/>
      </c>
    </row>
    <row r="203" spans="1:30" x14ac:dyDescent="0.3">
      <c r="A203" s="23">
        <v>202</v>
      </c>
      <c r="B203" s="30"/>
      <c r="C203" s="30"/>
      <c r="D203" s="30"/>
      <c r="E203" s="24"/>
      <c r="F203" s="24"/>
      <c r="G203" s="34"/>
      <c r="H203" s="24"/>
      <c r="I203" s="23" t="str">
        <f t="shared" si="22"/>
        <v/>
      </c>
      <c r="J203" s="23" t="str">
        <f t="shared" si="23"/>
        <v/>
      </c>
      <c r="K203" s="23"/>
      <c r="L203" s="23"/>
      <c r="M203" s="23"/>
      <c r="N203" s="29"/>
      <c r="O203" s="29"/>
      <c r="P203" s="29"/>
      <c r="Q203" s="29"/>
      <c r="R203" s="29"/>
      <c r="S203" s="29"/>
      <c r="T203" s="29"/>
      <c r="U203" s="29"/>
      <c r="V203" s="29"/>
      <c r="W203" s="34"/>
      <c r="X203" s="29"/>
      <c r="Y203" s="29"/>
      <c r="Z203" s="29"/>
      <c r="AA203" s="29"/>
      <c r="AB203" s="29"/>
      <c r="AC203" s="29"/>
      <c r="AD203" t="str">
        <f t="shared" si="24"/>
        <v/>
      </c>
    </row>
    <row r="204" spans="1:30" x14ac:dyDescent="0.3">
      <c r="A204" s="23">
        <v>203</v>
      </c>
      <c r="B204" s="30"/>
      <c r="C204" s="30"/>
      <c r="D204" s="30"/>
      <c r="E204" s="24"/>
      <c r="F204" s="24"/>
      <c r="G204" s="34"/>
      <c r="H204" s="24"/>
      <c r="I204" s="23" t="str">
        <f t="shared" si="22"/>
        <v/>
      </c>
      <c r="J204" s="23" t="str">
        <f t="shared" si="23"/>
        <v/>
      </c>
      <c r="K204" s="23"/>
      <c r="L204" s="23"/>
      <c r="M204" s="23"/>
      <c r="N204" s="29"/>
      <c r="O204" s="29"/>
      <c r="P204" s="29"/>
      <c r="Q204" s="29"/>
      <c r="R204" s="29"/>
      <c r="S204" s="29"/>
      <c r="T204" s="29"/>
      <c r="U204" s="29"/>
      <c r="V204" s="29"/>
      <c r="W204" s="34"/>
      <c r="X204" s="29"/>
      <c r="Y204" s="29"/>
      <c r="Z204" s="29"/>
      <c r="AA204" s="29"/>
      <c r="AB204" s="29"/>
      <c r="AC204" s="29"/>
      <c r="AD204" t="str">
        <f t="shared" si="24"/>
        <v/>
      </c>
    </row>
    <row r="205" spans="1:30" x14ac:dyDescent="0.3">
      <c r="A205" s="23">
        <v>204</v>
      </c>
      <c r="B205" s="30"/>
      <c r="C205" s="30"/>
      <c r="D205" s="30"/>
      <c r="E205" s="24"/>
      <c r="F205" s="24"/>
      <c r="G205" s="34"/>
      <c r="H205" s="24"/>
      <c r="I205" s="23" t="str">
        <f t="shared" si="22"/>
        <v/>
      </c>
      <c r="J205" s="23" t="str">
        <f t="shared" si="23"/>
        <v/>
      </c>
      <c r="K205" s="23"/>
      <c r="L205" s="23"/>
      <c r="M205" s="23"/>
      <c r="N205" s="29"/>
      <c r="O205" s="29"/>
      <c r="P205" s="29"/>
      <c r="Q205" s="29"/>
      <c r="R205" s="29"/>
      <c r="S205" s="29"/>
      <c r="T205" s="29"/>
      <c r="U205" s="29"/>
      <c r="V205" s="29"/>
      <c r="W205" s="34"/>
      <c r="X205" s="29"/>
      <c r="Y205" s="29"/>
      <c r="Z205" s="29"/>
      <c r="AA205" s="29"/>
      <c r="AB205" s="29"/>
      <c r="AC205" s="29"/>
      <c r="AD205" t="str">
        <f t="shared" si="24"/>
        <v/>
      </c>
    </row>
    <row r="206" spans="1:30" x14ac:dyDescent="0.3">
      <c r="A206" s="23">
        <v>205</v>
      </c>
      <c r="B206" s="30"/>
      <c r="C206" s="30"/>
      <c r="D206" s="30"/>
      <c r="E206" s="24"/>
      <c r="F206" s="24"/>
      <c r="G206" s="34"/>
      <c r="H206" s="24"/>
      <c r="I206" s="23" t="str">
        <f t="shared" si="22"/>
        <v/>
      </c>
      <c r="J206" s="23" t="str">
        <f t="shared" si="23"/>
        <v/>
      </c>
      <c r="K206" s="23"/>
      <c r="L206" s="23"/>
      <c r="M206" s="23"/>
      <c r="N206" s="29"/>
      <c r="O206" s="29"/>
      <c r="P206" s="29"/>
      <c r="Q206" s="29"/>
      <c r="R206" s="29"/>
      <c r="S206" s="29"/>
      <c r="T206" s="29"/>
      <c r="U206" s="29"/>
      <c r="V206" s="29"/>
      <c r="W206" s="34"/>
      <c r="X206" s="29"/>
      <c r="Y206" s="29"/>
      <c r="Z206" s="29"/>
      <c r="AA206" s="29"/>
      <c r="AB206" s="29"/>
      <c r="AC206" s="29"/>
      <c r="AD206" t="str">
        <f t="shared" si="24"/>
        <v/>
      </c>
    </row>
    <row r="207" spans="1:30" x14ac:dyDescent="0.3">
      <c r="A207" s="23">
        <v>206</v>
      </c>
      <c r="B207" s="30"/>
      <c r="C207" s="30"/>
      <c r="D207" s="30"/>
      <c r="E207" s="24"/>
      <c r="F207" s="24"/>
      <c r="G207" s="34"/>
      <c r="H207" s="24"/>
      <c r="I207" s="23" t="str">
        <f t="shared" si="22"/>
        <v/>
      </c>
      <c r="J207" s="23" t="str">
        <f t="shared" si="23"/>
        <v/>
      </c>
      <c r="K207" s="23"/>
      <c r="L207" s="23"/>
      <c r="M207" s="23"/>
      <c r="N207" s="29"/>
      <c r="O207" s="29"/>
      <c r="P207" s="29"/>
      <c r="Q207" s="29"/>
      <c r="R207" s="29"/>
      <c r="S207" s="29"/>
      <c r="T207" s="29"/>
      <c r="U207" s="29"/>
      <c r="V207" s="29"/>
      <c r="W207" s="34"/>
      <c r="X207" s="29"/>
      <c r="Y207" s="29"/>
      <c r="Z207" s="29"/>
      <c r="AA207" s="29"/>
      <c r="AB207" s="29"/>
      <c r="AC207" s="29"/>
      <c r="AD207" t="str">
        <f t="shared" si="24"/>
        <v/>
      </c>
    </row>
    <row r="208" spans="1:30" x14ac:dyDescent="0.3">
      <c r="A208" s="23">
        <v>207</v>
      </c>
      <c r="B208" s="30"/>
      <c r="C208" s="30"/>
      <c r="D208" s="30"/>
      <c r="E208" s="24"/>
      <c r="F208" s="24"/>
      <c r="G208" s="34"/>
      <c r="H208" s="24"/>
      <c r="I208" s="23" t="str">
        <f t="shared" si="22"/>
        <v/>
      </c>
      <c r="J208" s="23" t="str">
        <f t="shared" si="23"/>
        <v/>
      </c>
      <c r="K208" s="23"/>
      <c r="L208" s="23"/>
      <c r="M208" s="23"/>
      <c r="N208" s="29"/>
      <c r="O208" s="29"/>
      <c r="P208" s="29"/>
      <c r="Q208" s="29"/>
      <c r="R208" s="29"/>
      <c r="S208" s="29"/>
      <c r="T208" s="29"/>
      <c r="U208" s="29"/>
      <c r="V208" s="29"/>
      <c r="W208" s="34"/>
      <c r="X208" s="29"/>
      <c r="Y208" s="29"/>
      <c r="Z208" s="29"/>
      <c r="AA208" s="29"/>
      <c r="AB208" s="29"/>
      <c r="AC208" s="29"/>
      <c r="AD208" t="str">
        <f t="shared" si="24"/>
        <v/>
      </c>
    </row>
    <row r="209" spans="1:30" x14ac:dyDescent="0.3">
      <c r="A209" s="23">
        <v>208</v>
      </c>
      <c r="B209" s="30"/>
      <c r="C209" s="30"/>
      <c r="D209" s="30"/>
      <c r="E209" s="24"/>
      <c r="F209" s="24"/>
      <c r="G209" s="34"/>
      <c r="H209" s="24"/>
      <c r="I209" s="23" t="str">
        <f t="shared" si="22"/>
        <v/>
      </c>
      <c r="J209" s="23" t="str">
        <f t="shared" si="23"/>
        <v/>
      </c>
      <c r="K209" s="23"/>
      <c r="L209" s="23"/>
      <c r="M209" s="23"/>
      <c r="N209" s="29"/>
      <c r="O209" s="29"/>
      <c r="P209" s="29"/>
      <c r="Q209" s="29"/>
      <c r="R209" s="29"/>
      <c r="S209" s="29"/>
      <c r="T209" s="29"/>
      <c r="U209" s="29"/>
      <c r="V209" s="29"/>
      <c r="W209" s="34"/>
      <c r="X209" s="29"/>
      <c r="Y209" s="29"/>
      <c r="Z209" s="29"/>
      <c r="AA209" s="29"/>
      <c r="AB209" s="29"/>
      <c r="AC209" s="29"/>
      <c r="AD209" t="str">
        <f t="shared" si="24"/>
        <v/>
      </c>
    </row>
    <row r="210" spans="1:30" x14ac:dyDescent="0.3">
      <c r="A210" s="23">
        <v>209</v>
      </c>
      <c r="B210" s="30"/>
      <c r="C210" s="30"/>
      <c r="D210" s="30"/>
      <c r="E210" s="24"/>
      <c r="F210" s="24"/>
      <c r="G210" s="34"/>
      <c r="H210" s="24"/>
      <c r="I210" s="23" t="str">
        <f t="shared" si="22"/>
        <v/>
      </c>
      <c r="J210" s="23" t="str">
        <f t="shared" si="23"/>
        <v/>
      </c>
      <c r="K210" s="23"/>
      <c r="L210" s="23"/>
      <c r="M210" s="23"/>
      <c r="N210" s="29"/>
      <c r="O210" s="29"/>
      <c r="P210" s="29"/>
      <c r="Q210" s="29"/>
      <c r="R210" s="29"/>
      <c r="S210" s="29"/>
      <c r="T210" s="29"/>
      <c r="U210" s="29"/>
      <c r="V210" s="29"/>
      <c r="W210" s="34"/>
      <c r="X210" s="29"/>
      <c r="Y210" s="29"/>
      <c r="Z210" s="29"/>
      <c r="AA210" s="29"/>
      <c r="AB210" s="29"/>
      <c r="AC210" s="29"/>
      <c r="AD210" t="str">
        <f t="shared" si="24"/>
        <v/>
      </c>
    </row>
    <row r="211" spans="1:30" x14ac:dyDescent="0.3">
      <c r="A211" s="23">
        <v>210</v>
      </c>
      <c r="B211" s="30"/>
      <c r="C211" s="30"/>
      <c r="D211" s="30"/>
      <c r="E211" s="24"/>
      <c r="F211" s="24"/>
      <c r="G211" s="34"/>
      <c r="H211" s="24"/>
      <c r="I211" s="23" t="str">
        <f t="shared" si="22"/>
        <v/>
      </c>
      <c r="J211" s="23" t="str">
        <f t="shared" si="23"/>
        <v/>
      </c>
      <c r="K211" s="23"/>
      <c r="L211" s="23"/>
      <c r="M211" s="23"/>
      <c r="N211" s="29"/>
      <c r="O211" s="29"/>
      <c r="P211" s="29"/>
      <c r="Q211" s="29"/>
      <c r="R211" s="29"/>
      <c r="S211" s="29"/>
      <c r="T211" s="29"/>
      <c r="U211" s="29"/>
      <c r="V211" s="29"/>
      <c r="W211" s="34"/>
      <c r="X211" s="29"/>
      <c r="Y211" s="29"/>
      <c r="Z211" s="29"/>
      <c r="AA211" s="29"/>
      <c r="AB211" s="29"/>
      <c r="AC211" s="29"/>
      <c r="AD211" t="str">
        <f t="shared" si="24"/>
        <v/>
      </c>
    </row>
    <row r="212" spans="1:30" x14ac:dyDescent="0.3">
      <c r="A212" s="23">
        <v>211</v>
      </c>
      <c r="B212" s="30"/>
      <c r="C212" s="30"/>
      <c r="D212" s="30"/>
      <c r="E212" s="24"/>
      <c r="F212" s="24"/>
      <c r="G212" s="34"/>
      <c r="H212" s="24"/>
      <c r="I212" s="23" t="str">
        <f t="shared" si="22"/>
        <v/>
      </c>
      <c r="J212" s="23" t="str">
        <f t="shared" si="23"/>
        <v/>
      </c>
      <c r="K212" s="23"/>
      <c r="L212" s="23"/>
      <c r="M212" s="23"/>
      <c r="N212" s="29"/>
      <c r="O212" s="29"/>
      <c r="P212" s="29"/>
      <c r="Q212" s="29"/>
      <c r="R212" s="29"/>
      <c r="S212" s="29"/>
      <c r="T212" s="29"/>
      <c r="U212" s="29"/>
      <c r="V212" s="29"/>
      <c r="W212" s="34"/>
      <c r="X212" s="29"/>
      <c r="Y212" s="29"/>
      <c r="Z212" s="29"/>
      <c r="AA212" s="29"/>
      <c r="AB212" s="29"/>
      <c r="AC212" s="29"/>
      <c r="AD212" t="str">
        <f t="shared" si="24"/>
        <v/>
      </c>
    </row>
    <row r="213" spans="1:30" x14ac:dyDescent="0.3">
      <c r="A213" s="23">
        <v>212</v>
      </c>
      <c r="B213" s="30"/>
      <c r="C213" s="30"/>
      <c r="D213" s="30"/>
      <c r="E213" s="24"/>
      <c r="F213" s="24"/>
      <c r="G213" s="34"/>
      <c r="H213" s="24"/>
      <c r="I213" s="23" t="str">
        <f t="shared" si="22"/>
        <v/>
      </c>
      <c r="J213" s="23" t="str">
        <f t="shared" si="23"/>
        <v/>
      </c>
      <c r="K213" s="23"/>
      <c r="L213" s="23"/>
      <c r="M213" s="23"/>
      <c r="N213" s="29"/>
      <c r="O213" s="29"/>
      <c r="P213" s="29"/>
      <c r="Q213" s="29"/>
      <c r="R213" s="29"/>
      <c r="S213" s="29"/>
      <c r="T213" s="29"/>
      <c r="U213" s="29"/>
      <c r="V213" s="29"/>
      <c r="W213" s="34"/>
      <c r="X213" s="29"/>
      <c r="Y213" s="29"/>
      <c r="Z213" s="29"/>
      <c r="AA213" s="29"/>
      <c r="AB213" s="29"/>
      <c r="AC213" s="29"/>
      <c r="AD213" t="str">
        <f t="shared" si="24"/>
        <v/>
      </c>
    </row>
    <row r="214" spans="1:30" x14ac:dyDescent="0.3">
      <c r="A214" s="23">
        <v>213</v>
      </c>
      <c r="B214" s="30"/>
      <c r="C214" s="30"/>
      <c r="D214" s="30"/>
      <c r="E214" s="24"/>
      <c r="F214" s="24"/>
      <c r="G214" s="34"/>
      <c r="H214" s="24"/>
      <c r="I214" s="23" t="str">
        <f t="shared" si="22"/>
        <v/>
      </c>
      <c r="J214" s="23" t="str">
        <f t="shared" si="23"/>
        <v/>
      </c>
      <c r="K214" s="23"/>
      <c r="L214" s="23"/>
      <c r="M214" s="23"/>
      <c r="N214" s="29"/>
      <c r="O214" s="29"/>
      <c r="P214" s="29"/>
      <c r="Q214" s="29"/>
      <c r="R214" s="29"/>
      <c r="S214" s="29"/>
      <c r="T214" s="29"/>
      <c r="U214" s="29"/>
      <c r="V214" s="29"/>
      <c r="W214" s="34"/>
      <c r="X214" s="29"/>
      <c r="Y214" s="29"/>
      <c r="Z214" s="29"/>
      <c r="AA214" s="29"/>
      <c r="AB214" s="29"/>
      <c r="AC214" s="29"/>
      <c r="AD214" t="str">
        <f t="shared" si="24"/>
        <v/>
      </c>
    </row>
    <row r="215" spans="1:30" x14ac:dyDescent="0.3">
      <c r="A215" s="23">
        <v>214</v>
      </c>
      <c r="B215" s="30"/>
      <c r="C215" s="30"/>
      <c r="D215" s="30"/>
      <c r="E215" s="24"/>
      <c r="F215" s="24"/>
      <c r="G215" s="34"/>
      <c r="H215" s="24"/>
      <c r="I215" s="23" t="str">
        <f t="shared" si="22"/>
        <v/>
      </c>
      <c r="J215" s="23" t="str">
        <f t="shared" si="23"/>
        <v/>
      </c>
      <c r="K215" s="23"/>
      <c r="L215" s="23"/>
      <c r="M215" s="23"/>
      <c r="N215" s="29"/>
      <c r="O215" s="29"/>
      <c r="P215" s="29"/>
      <c r="Q215" s="29"/>
      <c r="R215" s="29"/>
      <c r="S215" s="29"/>
      <c r="T215" s="29"/>
      <c r="U215" s="29"/>
      <c r="V215" s="29"/>
      <c r="W215" s="34"/>
      <c r="X215" s="29"/>
      <c r="Y215" s="29"/>
      <c r="Z215" s="29"/>
      <c r="AA215" s="29"/>
      <c r="AB215" s="29"/>
      <c r="AC215" s="29"/>
      <c r="AD215" t="str">
        <f t="shared" si="24"/>
        <v/>
      </c>
    </row>
    <row r="216" spans="1:30" x14ac:dyDescent="0.3">
      <c r="A216" s="23">
        <v>215</v>
      </c>
      <c r="B216" s="30"/>
      <c r="C216" s="30"/>
      <c r="D216" s="30"/>
      <c r="E216" s="24"/>
      <c r="F216" s="24"/>
      <c r="G216" s="34"/>
      <c r="H216" s="24"/>
      <c r="I216" s="23" t="str">
        <f t="shared" si="22"/>
        <v/>
      </c>
      <c r="J216" s="23" t="str">
        <f t="shared" si="23"/>
        <v/>
      </c>
      <c r="K216" s="23"/>
      <c r="L216" s="23"/>
      <c r="M216" s="23"/>
      <c r="N216" s="29"/>
      <c r="O216" s="29"/>
      <c r="P216" s="29"/>
      <c r="Q216" s="29"/>
      <c r="R216" s="29"/>
      <c r="S216" s="29"/>
      <c r="T216" s="29"/>
      <c r="U216" s="29"/>
      <c r="V216" s="29"/>
      <c r="W216" s="34"/>
      <c r="X216" s="29"/>
      <c r="Y216" s="29"/>
      <c r="Z216" s="29"/>
      <c r="AA216" s="29"/>
      <c r="AB216" s="29"/>
      <c r="AC216" s="29"/>
      <c r="AD216" t="str">
        <f t="shared" si="24"/>
        <v/>
      </c>
    </row>
    <row r="217" spans="1:30" x14ac:dyDescent="0.3">
      <c r="A217" s="23">
        <v>216</v>
      </c>
      <c r="B217" s="30"/>
      <c r="C217" s="30"/>
      <c r="D217" s="30"/>
      <c r="E217" s="24"/>
      <c r="F217" s="24"/>
      <c r="G217" s="34"/>
      <c r="H217" s="24"/>
      <c r="I217" s="23" t="str">
        <f t="shared" si="22"/>
        <v/>
      </c>
      <c r="J217" s="23" t="str">
        <f t="shared" si="23"/>
        <v/>
      </c>
      <c r="K217" s="23"/>
      <c r="L217" s="23"/>
      <c r="M217" s="23"/>
      <c r="N217" s="29"/>
      <c r="O217" s="29"/>
      <c r="P217" s="29"/>
      <c r="Q217" s="29"/>
      <c r="R217" s="29"/>
      <c r="S217" s="29"/>
      <c r="T217" s="29"/>
      <c r="U217" s="29"/>
      <c r="V217" s="29"/>
      <c r="W217" s="34"/>
      <c r="X217" s="29"/>
      <c r="Y217" s="29"/>
      <c r="Z217" s="29"/>
      <c r="AA217" s="29"/>
      <c r="AB217" s="29"/>
      <c r="AC217" s="29"/>
      <c r="AD217" t="str">
        <f t="shared" si="24"/>
        <v/>
      </c>
    </row>
    <row r="218" spans="1:30" x14ac:dyDescent="0.3">
      <c r="A218" s="23">
        <v>217</v>
      </c>
      <c r="B218" s="30"/>
      <c r="C218" s="30"/>
      <c r="D218" s="30"/>
      <c r="E218" s="24"/>
      <c r="F218" s="24"/>
      <c r="G218" s="34"/>
      <c r="H218" s="24"/>
      <c r="I218" s="23" t="str">
        <f t="shared" si="22"/>
        <v/>
      </c>
      <c r="J218" s="23" t="str">
        <f t="shared" si="23"/>
        <v/>
      </c>
      <c r="K218" s="23"/>
      <c r="L218" s="23"/>
      <c r="M218" s="23"/>
      <c r="N218" s="29"/>
      <c r="O218" s="29"/>
      <c r="P218" s="29"/>
      <c r="Q218" s="29"/>
      <c r="R218" s="29"/>
      <c r="S218" s="29"/>
      <c r="T218" s="29"/>
      <c r="U218" s="29"/>
      <c r="V218" s="29"/>
      <c r="W218" s="34"/>
      <c r="X218" s="29"/>
      <c r="Y218" s="29"/>
      <c r="Z218" s="29"/>
      <c r="AA218" s="29"/>
      <c r="AB218" s="29"/>
      <c r="AC218" s="29"/>
      <c r="AD218" t="str">
        <f t="shared" si="24"/>
        <v/>
      </c>
    </row>
    <row r="219" spans="1:30" x14ac:dyDescent="0.3">
      <c r="A219" s="23">
        <v>218</v>
      </c>
      <c r="B219" s="30"/>
      <c r="C219" s="30"/>
      <c r="D219" s="30"/>
      <c r="E219" s="24"/>
      <c r="F219" s="24"/>
      <c r="G219" s="34"/>
      <c r="H219" s="24"/>
      <c r="I219" s="23" t="str">
        <f t="shared" si="22"/>
        <v/>
      </c>
      <c r="J219" s="23" t="str">
        <f t="shared" si="23"/>
        <v/>
      </c>
      <c r="K219" s="23"/>
      <c r="L219" s="23"/>
      <c r="M219" s="23"/>
      <c r="N219" s="29"/>
      <c r="O219" s="29"/>
      <c r="P219" s="29"/>
      <c r="Q219" s="29"/>
      <c r="R219" s="29"/>
      <c r="S219" s="29"/>
      <c r="T219" s="29"/>
      <c r="U219" s="29"/>
      <c r="V219" s="29"/>
      <c r="W219" s="34"/>
      <c r="X219" s="29"/>
      <c r="Y219" s="29"/>
      <c r="Z219" s="29"/>
      <c r="AA219" s="29"/>
      <c r="AB219" s="29"/>
      <c r="AC219" s="29"/>
      <c r="AD219" t="str">
        <f t="shared" si="24"/>
        <v/>
      </c>
    </row>
    <row r="220" spans="1:30" x14ac:dyDescent="0.3">
      <c r="A220" s="23">
        <v>219</v>
      </c>
      <c r="B220" s="30"/>
      <c r="C220" s="30"/>
      <c r="D220" s="30"/>
      <c r="E220" s="24"/>
      <c r="F220" s="24"/>
      <c r="G220" s="34"/>
      <c r="H220" s="24"/>
      <c r="I220" s="23" t="str">
        <f t="shared" si="22"/>
        <v/>
      </c>
      <c r="J220" s="23" t="str">
        <f t="shared" si="23"/>
        <v/>
      </c>
      <c r="K220" s="23"/>
      <c r="L220" s="23"/>
      <c r="M220" s="23"/>
      <c r="N220" s="29"/>
      <c r="O220" s="29"/>
      <c r="P220" s="29"/>
      <c r="Q220" s="29"/>
      <c r="R220" s="29"/>
      <c r="S220" s="29"/>
      <c r="T220" s="29"/>
      <c r="U220" s="29"/>
      <c r="V220" s="29"/>
      <c r="W220" s="34"/>
      <c r="X220" s="29"/>
      <c r="Y220" s="29"/>
      <c r="Z220" s="29"/>
      <c r="AA220" s="29"/>
      <c r="AB220" s="29"/>
      <c r="AC220" s="29"/>
      <c r="AD220" t="str">
        <f t="shared" si="24"/>
        <v/>
      </c>
    </row>
    <row r="221" spans="1:30" x14ac:dyDescent="0.3">
      <c r="A221" s="23">
        <v>220</v>
      </c>
      <c r="B221" s="30"/>
      <c r="C221" s="30"/>
      <c r="D221" s="30"/>
      <c r="E221" s="24"/>
      <c r="F221" s="24"/>
      <c r="G221" s="34"/>
      <c r="H221" s="24"/>
      <c r="I221" s="23" t="str">
        <f t="shared" si="22"/>
        <v/>
      </c>
      <c r="J221" s="23" t="str">
        <f t="shared" si="23"/>
        <v/>
      </c>
      <c r="K221" s="23"/>
      <c r="L221" s="23"/>
      <c r="M221" s="23"/>
      <c r="N221" s="29"/>
      <c r="O221" s="29"/>
      <c r="P221" s="29"/>
      <c r="Q221" s="29"/>
      <c r="R221" s="29"/>
      <c r="S221" s="29"/>
      <c r="T221" s="29"/>
      <c r="U221" s="29"/>
      <c r="V221" s="29"/>
      <c r="W221" s="34"/>
      <c r="X221" s="29"/>
      <c r="Y221" s="29"/>
      <c r="Z221" s="29"/>
      <c r="AA221" s="29"/>
      <c r="AB221" s="29"/>
      <c r="AC221" s="29"/>
      <c r="AD221" t="str">
        <f t="shared" si="24"/>
        <v/>
      </c>
    </row>
    <row r="222" spans="1:30" x14ac:dyDescent="0.3">
      <c r="A222" s="23">
        <v>221</v>
      </c>
      <c r="B222" s="30"/>
      <c r="C222" s="30"/>
      <c r="D222" s="30"/>
      <c r="E222" s="24"/>
      <c r="F222" s="24"/>
      <c r="G222" s="34"/>
      <c r="H222" s="24"/>
      <c r="I222" s="23" t="str">
        <f t="shared" si="22"/>
        <v/>
      </c>
      <c r="J222" s="23" t="str">
        <f t="shared" si="23"/>
        <v/>
      </c>
      <c r="K222" s="23"/>
      <c r="L222" s="23"/>
      <c r="M222" s="23"/>
      <c r="N222" s="29"/>
      <c r="O222" s="29"/>
      <c r="P222" s="29"/>
      <c r="Q222" s="29"/>
      <c r="R222" s="29"/>
      <c r="S222" s="29"/>
      <c r="T222" s="29"/>
      <c r="U222" s="29"/>
      <c r="V222" s="29"/>
      <c r="W222" s="34"/>
      <c r="X222" s="29"/>
      <c r="Y222" s="29"/>
      <c r="Z222" s="29"/>
      <c r="AA222" s="29"/>
      <c r="AB222" s="29"/>
      <c r="AC222" s="29"/>
      <c r="AD222" t="str">
        <f t="shared" si="24"/>
        <v/>
      </c>
    </row>
    <row r="223" spans="1:30" x14ac:dyDescent="0.3">
      <c r="A223" s="23">
        <v>222</v>
      </c>
      <c r="B223" s="30"/>
      <c r="C223" s="30"/>
      <c r="D223" s="30"/>
      <c r="E223" s="24"/>
      <c r="F223" s="24"/>
      <c r="G223" s="34"/>
      <c r="H223" s="24"/>
      <c r="I223" s="23" t="str">
        <f t="shared" si="22"/>
        <v/>
      </c>
      <c r="J223" s="23" t="str">
        <f t="shared" si="23"/>
        <v/>
      </c>
      <c r="K223" s="23"/>
      <c r="L223" s="23"/>
      <c r="M223" s="23"/>
      <c r="N223" s="29"/>
      <c r="O223" s="29"/>
      <c r="P223" s="29"/>
      <c r="Q223" s="29"/>
      <c r="R223" s="29"/>
      <c r="S223" s="29"/>
      <c r="T223" s="29"/>
      <c r="U223" s="29"/>
      <c r="V223" s="29"/>
      <c r="W223" s="34"/>
      <c r="X223" s="29"/>
      <c r="Y223" s="29"/>
      <c r="Z223" s="29"/>
      <c r="AA223" s="29"/>
      <c r="AB223" s="29"/>
      <c r="AC223" s="29"/>
      <c r="AD223" t="str">
        <f t="shared" si="24"/>
        <v/>
      </c>
    </row>
    <row r="224" spans="1:30" x14ac:dyDescent="0.3">
      <c r="A224" s="23">
        <v>223</v>
      </c>
      <c r="B224" s="30"/>
      <c r="C224" s="30"/>
      <c r="D224" s="30"/>
      <c r="E224" s="24"/>
      <c r="F224" s="24"/>
      <c r="G224" s="34"/>
      <c r="H224" s="24"/>
      <c r="I224" s="23" t="str">
        <f t="shared" si="22"/>
        <v/>
      </c>
      <c r="J224" s="23" t="str">
        <f t="shared" si="23"/>
        <v/>
      </c>
      <c r="K224" s="23"/>
      <c r="L224" s="23"/>
      <c r="M224" s="23"/>
      <c r="N224" s="29"/>
      <c r="O224" s="29"/>
      <c r="P224" s="29"/>
      <c r="Q224" s="29"/>
      <c r="R224" s="29"/>
      <c r="S224" s="29"/>
      <c r="T224" s="29"/>
      <c r="U224" s="29"/>
      <c r="V224" s="29"/>
      <c r="W224" s="34"/>
      <c r="X224" s="29"/>
      <c r="Y224" s="29"/>
      <c r="Z224" s="29"/>
      <c r="AA224" s="29"/>
      <c r="AB224" s="29"/>
      <c r="AC224" s="29"/>
      <c r="AD224" t="str">
        <f t="shared" si="24"/>
        <v/>
      </c>
    </row>
    <row r="225" spans="1:30" x14ac:dyDescent="0.3">
      <c r="A225" s="23">
        <v>224</v>
      </c>
      <c r="B225" s="30"/>
      <c r="C225" s="30"/>
      <c r="D225" s="30"/>
      <c r="E225" s="24"/>
      <c r="F225" s="24"/>
      <c r="G225" s="34"/>
      <c r="H225" s="24"/>
      <c r="I225" s="23" t="str">
        <f t="shared" si="22"/>
        <v/>
      </c>
      <c r="J225" s="23" t="str">
        <f t="shared" si="23"/>
        <v/>
      </c>
      <c r="K225" s="23"/>
      <c r="L225" s="23"/>
      <c r="M225" s="23"/>
      <c r="N225" s="29"/>
      <c r="O225" s="29"/>
      <c r="P225" s="29"/>
      <c r="Q225" s="29"/>
      <c r="R225" s="29"/>
      <c r="S225" s="29"/>
      <c r="T225" s="29"/>
      <c r="U225" s="29"/>
      <c r="V225" s="29"/>
      <c r="W225" s="34"/>
      <c r="X225" s="29"/>
      <c r="Y225" s="29"/>
      <c r="Z225" s="29"/>
      <c r="AA225" s="29"/>
      <c r="AB225" s="29"/>
      <c r="AC225" s="29"/>
      <c r="AD225" t="str">
        <f t="shared" si="24"/>
        <v/>
      </c>
    </row>
    <row r="226" spans="1:30" x14ac:dyDescent="0.3">
      <c r="A226" s="23">
        <v>225</v>
      </c>
      <c r="B226" s="30"/>
      <c r="C226" s="30"/>
      <c r="D226" s="30"/>
      <c r="E226" s="24"/>
      <c r="F226" s="24"/>
      <c r="G226" s="34"/>
      <c r="H226" s="24"/>
      <c r="I226" s="23" t="str">
        <f t="shared" si="22"/>
        <v/>
      </c>
      <c r="J226" s="23" t="str">
        <f t="shared" si="23"/>
        <v/>
      </c>
      <c r="K226" s="23"/>
      <c r="L226" s="23"/>
      <c r="M226" s="23"/>
      <c r="N226" s="29"/>
      <c r="O226" s="29"/>
      <c r="P226" s="29"/>
      <c r="Q226" s="29"/>
      <c r="R226" s="29"/>
      <c r="S226" s="29"/>
      <c r="T226" s="29"/>
      <c r="U226" s="29"/>
      <c r="V226" s="29"/>
      <c r="W226" s="34"/>
      <c r="X226" s="29"/>
      <c r="Y226" s="29"/>
      <c r="Z226" s="29"/>
      <c r="AA226" s="29"/>
      <c r="AB226" s="29"/>
      <c r="AC226" s="29"/>
      <c r="AD226" t="str">
        <f t="shared" si="24"/>
        <v/>
      </c>
    </row>
    <row r="227" spans="1:30" x14ac:dyDescent="0.3">
      <c r="A227" s="23">
        <v>226</v>
      </c>
      <c r="B227" s="30"/>
      <c r="C227" s="30"/>
      <c r="D227" s="30"/>
      <c r="E227" s="24"/>
      <c r="F227" s="24"/>
      <c r="G227" s="34"/>
      <c r="H227" s="24"/>
      <c r="I227" s="23" t="str">
        <f t="shared" si="22"/>
        <v/>
      </c>
      <c r="J227" s="23" t="str">
        <f t="shared" si="23"/>
        <v/>
      </c>
      <c r="K227" s="23"/>
      <c r="L227" s="23"/>
      <c r="M227" s="23"/>
      <c r="N227" s="29"/>
      <c r="O227" s="29"/>
      <c r="P227" s="29"/>
      <c r="Q227" s="29"/>
      <c r="R227" s="29"/>
      <c r="S227" s="29"/>
      <c r="T227" s="29"/>
      <c r="U227" s="29"/>
      <c r="V227" s="29"/>
      <c r="W227" s="34"/>
      <c r="X227" s="29"/>
      <c r="Y227" s="29"/>
      <c r="Z227" s="29"/>
      <c r="AA227" s="29"/>
      <c r="AB227" s="29"/>
      <c r="AC227" s="29"/>
      <c r="AD227" t="str">
        <f t="shared" si="24"/>
        <v/>
      </c>
    </row>
    <row r="228" spans="1:30" x14ac:dyDescent="0.3">
      <c r="A228" s="23">
        <v>227</v>
      </c>
      <c r="B228" s="30"/>
      <c r="C228" s="30"/>
      <c r="D228" s="30"/>
      <c r="E228" s="24"/>
      <c r="F228" s="24"/>
      <c r="G228" s="34"/>
      <c r="H228" s="24"/>
      <c r="I228" s="23" t="str">
        <f t="shared" si="22"/>
        <v/>
      </c>
      <c r="J228" s="23" t="str">
        <f t="shared" si="23"/>
        <v/>
      </c>
      <c r="K228" s="23"/>
      <c r="L228" s="23"/>
      <c r="M228" s="23"/>
      <c r="N228" s="29"/>
      <c r="O228" s="29"/>
      <c r="P228" s="29"/>
      <c r="Q228" s="29"/>
      <c r="R228" s="29"/>
      <c r="S228" s="29"/>
      <c r="T228" s="29"/>
      <c r="U228" s="29"/>
      <c r="V228" s="29"/>
      <c r="W228" s="34"/>
      <c r="X228" s="29"/>
      <c r="Y228" s="29"/>
      <c r="Z228" s="29"/>
      <c r="AA228" s="29"/>
      <c r="AB228" s="29"/>
      <c r="AC228" s="29"/>
      <c r="AD228" t="str">
        <f t="shared" si="24"/>
        <v/>
      </c>
    </row>
    <row r="229" spans="1:30" x14ac:dyDescent="0.3">
      <c r="A229" s="23">
        <v>228</v>
      </c>
      <c r="B229" s="30"/>
      <c r="C229" s="30"/>
      <c r="D229" s="30"/>
      <c r="E229" s="24"/>
      <c r="F229" s="24"/>
      <c r="G229" s="34"/>
      <c r="H229" s="24"/>
      <c r="I229" s="23" t="str">
        <f t="shared" si="22"/>
        <v/>
      </c>
      <c r="J229" s="23" t="str">
        <f t="shared" si="23"/>
        <v/>
      </c>
      <c r="K229" s="23"/>
      <c r="L229" s="23"/>
      <c r="M229" s="23"/>
      <c r="N229" s="29"/>
      <c r="O229" s="29"/>
      <c r="P229" s="29"/>
      <c r="Q229" s="29"/>
      <c r="R229" s="29"/>
      <c r="S229" s="29"/>
      <c r="T229" s="29"/>
      <c r="U229" s="29"/>
      <c r="V229" s="29"/>
      <c r="W229" s="34"/>
      <c r="X229" s="29"/>
      <c r="Y229" s="29"/>
      <c r="Z229" s="29"/>
      <c r="AA229" s="29"/>
      <c r="AB229" s="29"/>
      <c r="AC229" s="29"/>
      <c r="AD229" t="str">
        <f t="shared" si="24"/>
        <v/>
      </c>
    </row>
    <row r="230" spans="1:30" x14ac:dyDescent="0.3">
      <c r="A230" s="23">
        <v>229</v>
      </c>
      <c r="B230" s="30"/>
      <c r="C230" s="30"/>
      <c r="D230" s="30"/>
      <c r="E230" s="24"/>
      <c r="F230" s="24"/>
      <c r="G230" s="34"/>
      <c r="H230" s="24"/>
      <c r="I230" s="23" t="str">
        <f t="shared" si="22"/>
        <v/>
      </c>
      <c r="J230" s="23" t="str">
        <f t="shared" si="23"/>
        <v/>
      </c>
      <c r="K230" s="23"/>
      <c r="L230" s="23"/>
      <c r="M230" s="23"/>
      <c r="N230" s="29"/>
      <c r="O230" s="29"/>
      <c r="P230" s="29"/>
      <c r="Q230" s="29"/>
      <c r="R230" s="29"/>
      <c r="S230" s="29"/>
      <c r="T230" s="29"/>
      <c r="U230" s="29"/>
      <c r="V230" s="29"/>
      <c r="W230" s="34"/>
      <c r="X230" s="29"/>
      <c r="Y230" s="29"/>
      <c r="Z230" s="29"/>
      <c r="AA230" s="29"/>
      <c r="AB230" s="29"/>
      <c r="AC230" s="29"/>
      <c r="AD230" t="str">
        <f t="shared" si="24"/>
        <v/>
      </c>
    </row>
    <row r="231" spans="1:30" x14ac:dyDescent="0.3">
      <c r="A231" s="23">
        <v>230</v>
      </c>
      <c r="B231" s="30"/>
      <c r="C231" s="30"/>
      <c r="D231" s="30"/>
      <c r="E231" s="24"/>
      <c r="F231" s="24"/>
      <c r="G231" s="34"/>
      <c r="H231" s="24"/>
      <c r="I231" s="23" t="str">
        <f t="shared" si="22"/>
        <v/>
      </c>
      <c r="J231" s="23" t="str">
        <f t="shared" si="23"/>
        <v/>
      </c>
      <c r="K231" s="23"/>
      <c r="L231" s="23"/>
      <c r="M231" s="23"/>
      <c r="N231" s="29"/>
      <c r="O231" s="29"/>
      <c r="P231" s="29"/>
      <c r="Q231" s="29"/>
      <c r="R231" s="29"/>
      <c r="S231" s="29"/>
      <c r="T231" s="29"/>
      <c r="U231" s="29"/>
      <c r="V231" s="29"/>
      <c r="W231" s="34"/>
      <c r="X231" s="29"/>
      <c r="Y231" s="29"/>
      <c r="Z231" s="29"/>
      <c r="AA231" s="29"/>
      <c r="AB231" s="29"/>
      <c r="AC231" s="29"/>
      <c r="AD231" t="str">
        <f t="shared" si="24"/>
        <v/>
      </c>
    </row>
    <row r="232" spans="1:30" x14ac:dyDescent="0.3">
      <c r="A232" s="23">
        <v>231</v>
      </c>
      <c r="B232" s="30"/>
      <c r="C232" s="30"/>
      <c r="D232" s="30"/>
      <c r="E232" s="24"/>
      <c r="F232" s="24"/>
      <c r="G232" s="34"/>
      <c r="H232" s="24"/>
      <c r="I232" s="23" t="str">
        <f t="shared" si="22"/>
        <v/>
      </c>
      <c r="J232" s="23" t="str">
        <f t="shared" si="23"/>
        <v/>
      </c>
      <c r="K232" s="23"/>
      <c r="L232" s="23"/>
      <c r="M232" s="23"/>
      <c r="N232" s="29"/>
      <c r="O232" s="29"/>
      <c r="P232" s="29"/>
      <c r="Q232" s="29"/>
      <c r="R232" s="29"/>
      <c r="S232" s="29"/>
      <c r="T232" s="29"/>
      <c r="U232" s="29"/>
      <c r="V232" s="29"/>
      <c r="W232" s="34"/>
      <c r="X232" s="29"/>
      <c r="Y232" s="29"/>
      <c r="Z232" s="29"/>
      <c r="AA232" s="29"/>
      <c r="AB232" s="29"/>
      <c r="AC232" s="29"/>
      <c r="AD232" t="str">
        <f t="shared" si="24"/>
        <v/>
      </c>
    </row>
    <row r="233" spans="1:30" x14ac:dyDescent="0.3">
      <c r="A233" s="23">
        <v>232</v>
      </c>
      <c r="B233" s="30"/>
      <c r="C233" s="30"/>
      <c r="D233" s="30"/>
      <c r="E233" s="24"/>
      <c r="F233" s="24"/>
      <c r="G233" s="34"/>
      <c r="H233" s="24"/>
      <c r="I233" s="23" t="str">
        <f t="shared" si="22"/>
        <v/>
      </c>
      <c r="J233" s="23" t="str">
        <f t="shared" si="23"/>
        <v/>
      </c>
      <c r="K233" s="23"/>
      <c r="L233" s="23"/>
      <c r="M233" s="23"/>
      <c r="N233" s="29"/>
      <c r="O233" s="29"/>
      <c r="P233" s="29"/>
      <c r="Q233" s="29"/>
      <c r="R233" s="29"/>
      <c r="S233" s="29"/>
      <c r="T233" s="29"/>
      <c r="U233" s="29"/>
      <c r="V233" s="29"/>
      <c r="W233" s="34"/>
      <c r="X233" s="29"/>
      <c r="Y233" s="29"/>
      <c r="Z233" s="29"/>
      <c r="AA233" s="29"/>
      <c r="AB233" s="29"/>
      <c r="AC233" s="29"/>
      <c r="AD233" t="str">
        <f t="shared" si="24"/>
        <v/>
      </c>
    </row>
    <row r="234" spans="1:30" x14ac:dyDescent="0.3">
      <c r="A234" s="23">
        <v>233</v>
      </c>
      <c r="B234" s="30"/>
      <c r="C234" s="30"/>
      <c r="D234" s="30"/>
      <c r="E234" s="24"/>
      <c r="F234" s="24"/>
      <c r="G234" s="34"/>
      <c r="H234" s="24"/>
      <c r="I234" s="23" t="str">
        <f t="shared" si="22"/>
        <v/>
      </c>
      <c r="J234" s="23" t="str">
        <f t="shared" si="23"/>
        <v/>
      </c>
      <c r="K234" s="23"/>
      <c r="L234" s="23"/>
      <c r="M234" s="23"/>
      <c r="N234" s="29"/>
      <c r="O234" s="29"/>
      <c r="P234" s="29"/>
      <c r="Q234" s="29"/>
      <c r="R234" s="29"/>
      <c r="S234" s="29"/>
      <c r="T234" s="29"/>
      <c r="U234" s="29"/>
      <c r="V234" s="29"/>
      <c r="W234" s="34"/>
      <c r="X234" s="29"/>
      <c r="Y234" s="29"/>
      <c r="Z234" s="29"/>
      <c r="AA234" s="29"/>
      <c r="AB234" s="29"/>
      <c r="AC234" s="29"/>
      <c r="AD234" t="str">
        <f t="shared" si="24"/>
        <v/>
      </c>
    </row>
    <row r="235" spans="1:30" x14ac:dyDescent="0.3">
      <c r="A235" s="23">
        <v>234</v>
      </c>
      <c r="B235" s="30"/>
      <c r="C235" s="30"/>
      <c r="D235" s="30"/>
      <c r="E235" s="24"/>
      <c r="F235" s="24"/>
      <c r="G235" s="34"/>
      <c r="H235" s="24"/>
      <c r="I235" s="23" t="str">
        <f t="shared" si="22"/>
        <v/>
      </c>
      <c r="J235" s="23" t="str">
        <f t="shared" si="23"/>
        <v/>
      </c>
      <c r="K235" s="23"/>
      <c r="L235" s="23"/>
      <c r="M235" s="23"/>
      <c r="N235" s="29"/>
      <c r="O235" s="29"/>
      <c r="P235" s="29"/>
      <c r="Q235" s="29"/>
      <c r="R235" s="29"/>
      <c r="S235" s="29"/>
      <c r="T235" s="29"/>
      <c r="U235" s="29"/>
      <c r="V235" s="29"/>
      <c r="W235" s="34"/>
      <c r="X235" s="29"/>
      <c r="Y235" s="29"/>
      <c r="Z235" s="29"/>
      <c r="AA235" s="29"/>
      <c r="AB235" s="29"/>
      <c r="AC235" s="29"/>
      <c r="AD235" t="str">
        <f t="shared" si="24"/>
        <v/>
      </c>
    </row>
    <row r="236" spans="1:30" x14ac:dyDescent="0.3">
      <c r="A236" s="23">
        <v>235</v>
      </c>
      <c r="B236" s="30"/>
      <c r="C236" s="30"/>
      <c r="D236" s="30"/>
      <c r="E236" s="24"/>
      <c r="F236" s="24"/>
      <c r="G236" s="34"/>
      <c r="H236" s="24"/>
      <c r="I236" s="23" t="str">
        <f t="shared" si="22"/>
        <v/>
      </c>
      <c r="J236" s="23" t="str">
        <f t="shared" si="23"/>
        <v/>
      </c>
      <c r="K236" s="23"/>
      <c r="L236" s="23"/>
      <c r="M236" s="23"/>
      <c r="N236" s="29"/>
      <c r="O236" s="29"/>
      <c r="P236" s="29"/>
      <c r="Q236" s="29"/>
      <c r="R236" s="29"/>
      <c r="S236" s="29"/>
      <c r="T236" s="29"/>
      <c r="U236" s="29"/>
      <c r="V236" s="29"/>
      <c r="W236" s="34"/>
      <c r="X236" s="29"/>
      <c r="Y236" s="29"/>
      <c r="Z236" s="29"/>
      <c r="AA236" s="29"/>
      <c r="AB236" s="29"/>
      <c r="AC236" s="29"/>
      <c r="AD236" t="str">
        <f t="shared" si="24"/>
        <v/>
      </c>
    </row>
    <row r="237" spans="1:30" x14ac:dyDescent="0.3">
      <c r="A237" s="23">
        <v>236</v>
      </c>
      <c r="B237" s="30"/>
      <c r="C237" s="30"/>
      <c r="D237" s="30"/>
      <c r="E237" s="24"/>
      <c r="F237" s="24"/>
      <c r="G237" s="34"/>
      <c r="H237" s="24"/>
      <c r="I237" s="23" t="str">
        <f t="shared" si="22"/>
        <v/>
      </c>
      <c r="J237" s="23" t="str">
        <f t="shared" si="23"/>
        <v/>
      </c>
      <c r="K237" s="23"/>
      <c r="L237" s="23"/>
      <c r="M237" s="23"/>
      <c r="N237" s="29"/>
      <c r="O237" s="29"/>
      <c r="P237" s="29"/>
      <c r="Q237" s="29"/>
      <c r="R237" s="29"/>
      <c r="S237" s="29"/>
      <c r="T237" s="29"/>
      <c r="U237" s="29"/>
      <c r="V237" s="29"/>
      <c r="W237" s="34"/>
      <c r="X237" s="29"/>
      <c r="Y237" s="29"/>
      <c r="Z237" s="29"/>
      <c r="AA237" s="29"/>
      <c r="AB237" s="29"/>
      <c r="AC237" s="29"/>
      <c r="AD237" t="str">
        <f t="shared" si="24"/>
        <v/>
      </c>
    </row>
    <row r="238" spans="1:30" x14ac:dyDescent="0.3">
      <c r="A238" s="23">
        <v>237</v>
      </c>
      <c r="B238" s="30"/>
      <c r="C238" s="30"/>
      <c r="D238" s="30"/>
      <c r="E238" s="24"/>
      <c r="F238" s="24"/>
      <c r="G238" s="34"/>
      <c r="H238" s="24"/>
      <c r="I238" s="23" t="str">
        <f t="shared" si="22"/>
        <v/>
      </c>
      <c r="J238" s="23" t="str">
        <f t="shared" si="23"/>
        <v/>
      </c>
      <c r="K238" s="23"/>
      <c r="L238" s="23"/>
      <c r="M238" s="23"/>
      <c r="N238" s="29"/>
      <c r="O238" s="29"/>
      <c r="P238" s="29"/>
      <c r="Q238" s="29"/>
      <c r="R238" s="29"/>
      <c r="S238" s="29"/>
      <c r="T238" s="29"/>
      <c r="U238" s="29"/>
      <c r="V238" s="29"/>
      <c r="W238" s="34"/>
      <c r="X238" s="29"/>
      <c r="Y238" s="29"/>
      <c r="Z238" s="29"/>
      <c r="AA238" s="29"/>
      <c r="AB238" s="29"/>
      <c r="AC238" s="29"/>
      <c r="AD238" t="str">
        <f t="shared" si="24"/>
        <v/>
      </c>
    </row>
    <row r="239" spans="1:30" x14ac:dyDescent="0.3">
      <c r="A239" s="23">
        <v>238</v>
      </c>
      <c r="B239" s="30"/>
      <c r="C239" s="30"/>
      <c r="D239" s="30"/>
      <c r="E239" s="24"/>
      <c r="F239" s="24"/>
      <c r="G239" s="34"/>
      <c r="H239" s="24"/>
      <c r="I239" s="23" t="str">
        <f t="shared" si="22"/>
        <v/>
      </c>
      <c r="J239" s="23" t="str">
        <f t="shared" si="23"/>
        <v/>
      </c>
      <c r="K239" s="23"/>
      <c r="L239" s="23"/>
      <c r="M239" s="23"/>
      <c r="N239" s="29"/>
      <c r="O239" s="29"/>
      <c r="P239" s="29"/>
      <c r="Q239" s="29"/>
      <c r="R239" s="29"/>
      <c r="S239" s="29"/>
      <c r="T239" s="29"/>
      <c r="U239" s="29"/>
      <c r="V239" s="29"/>
      <c r="W239" s="34"/>
      <c r="X239" s="29"/>
      <c r="Y239" s="29"/>
      <c r="Z239" s="29"/>
      <c r="AA239" s="29"/>
      <c r="AB239" s="29"/>
      <c r="AC239" s="29"/>
      <c r="AD239" t="str">
        <f t="shared" si="24"/>
        <v/>
      </c>
    </row>
    <row r="240" spans="1:30" x14ac:dyDescent="0.3">
      <c r="A240" s="23">
        <v>239</v>
      </c>
      <c r="B240" s="30"/>
      <c r="C240" s="30"/>
      <c r="D240" s="30"/>
      <c r="E240" s="24"/>
      <c r="F240" s="24"/>
      <c r="G240" s="34"/>
      <c r="H240" s="24"/>
      <c r="I240" s="23" t="str">
        <f t="shared" si="22"/>
        <v/>
      </c>
      <c r="J240" s="23" t="str">
        <f t="shared" si="23"/>
        <v/>
      </c>
      <c r="K240" s="23"/>
      <c r="L240" s="23"/>
      <c r="M240" s="23"/>
      <c r="N240" s="29"/>
      <c r="O240" s="29"/>
      <c r="P240" s="29"/>
      <c r="Q240" s="29"/>
      <c r="R240" s="29"/>
      <c r="S240" s="29"/>
      <c r="T240" s="29"/>
      <c r="U240" s="29"/>
      <c r="V240" s="29"/>
      <c r="W240" s="34"/>
      <c r="X240" s="29"/>
      <c r="Y240" s="29"/>
      <c r="Z240" s="29"/>
      <c r="AA240" s="29"/>
      <c r="AB240" s="29"/>
      <c r="AC240" s="29"/>
      <c r="AD240" t="str">
        <f t="shared" si="24"/>
        <v/>
      </c>
    </row>
    <row r="241" spans="1:30" x14ac:dyDescent="0.3">
      <c r="A241" s="23">
        <v>240</v>
      </c>
      <c r="B241" s="30"/>
      <c r="C241" s="30"/>
      <c r="D241" s="30"/>
      <c r="E241" s="24"/>
      <c r="F241" s="24"/>
      <c r="G241" s="34"/>
      <c r="H241" s="24"/>
      <c r="I241" s="23" t="str">
        <f t="shared" si="22"/>
        <v/>
      </c>
      <c r="J241" s="23" t="str">
        <f t="shared" si="23"/>
        <v/>
      </c>
      <c r="K241" s="23"/>
      <c r="L241" s="23"/>
      <c r="M241" s="23"/>
      <c r="N241" s="29"/>
      <c r="O241" s="29"/>
      <c r="P241" s="29"/>
      <c r="Q241" s="29"/>
      <c r="R241" s="29"/>
      <c r="S241" s="29"/>
      <c r="T241" s="29"/>
      <c r="U241" s="29"/>
      <c r="V241" s="29"/>
      <c r="W241" s="34"/>
      <c r="X241" s="29"/>
      <c r="Y241" s="29"/>
      <c r="Z241" s="29"/>
      <c r="AA241" s="29"/>
      <c r="AB241" s="29"/>
      <c r="AC241" s="29"/>
      <c r="AD241" t="str">
        <f t="shared" si="24"/>
        <v/>
      </c>
    </row>
    <row r="242" spans="1:30" x14ac:dyDescent="0.3">
      <c r="A242" s="23">
        <v>241</v>
      </c>
      <c r="B242" s="30"/>
      <c r="C242" s="30"/>
      <c r="D242" s="30"/>
      <c r="E242" s="24"/>
      <c r="F242" s="24"/>
      <c r="G242" s="34"/>
      <c r="H242" s="24"/>
      <c r="I242" s="23" t="str">
        <f t="shared" si="22"/>
        <v/>
      </c>
      <c r="J242" s="23" t="str">
        <f t="shared" si="23"/>
        <v/>
      </c>
      <c r="K242" s="23"/>
      <c r="L242" s="23"/>
      <c r="M242" s="23"/>
      <c r="N242" s="29"/>
      <c r="O242" s="29"/>
      <c r="P242" s="29"/>
      <c r="Q242" s="29"/>
      <c r="R242" s="29"/>
      <c r="S242" s="29"/>
      <c r="T242" s="29"/>
      <c r="U242" s="29"/>
      <c r="V242" s="29"/>
      <c r="W242" s="34"/>
      <c r="X242" s="29"/>
      <c r="Y242" s="29"/>
      <c r="Z242" s="29"/>
      <c r="AA242" s="29"/>
      <c r="AB242" s="29"/>
      <c r="AC242" s="29"/>
      <c r="AD242" t="str">
        <f t="shared" si="24"/>
        <v/>
      </c>
    </row>
    <row r="243" spans="1:30" x14ac:dyDescent="0.3">
      <c r="A243" s="23">
        <v>242</v>
      </c>
      <c r="B243" s="30"/>
      <c r="C243" s="30"/>
      <c r="D243" s="30"/>
      <c r="E243" s="24"/>
      <c r="F243" s="24"/>
      <c r="G243" s="34"/>
      <c r="H243" s="24"/>
      <c r="I243" s="23" t="str">
        <f t="shared" si="22"/>
        <v/>
      </c>
      <c r="J243" s="23" t="str">
        <f t="shared" si="23"/>
        <v/>
      </c>
      <c r="K243" s="23"/>
      <c r="L243" s="23"/>
      <c r="M243" s="23"/>
      <c r="N243" s="29"/>
      <c r="O243" s="29"/>
      <c r="P243" s="29"/>
      <c r="Q243" s="29"/>
      <c r="R243" s="29"/>
      <c r="S243" s="29"/>
      <c r="T243" s="29"/>
      <c r="U243" s="29"/>
      <c r="V243" s="29"/>
      <c r="W243" s="34"/>
      <c r="X243" s="29"/>
      <c r="Y243" s="29"/>
      <c r="Z243" s="29"/>
      <c r="AA243" s="29"/>
      <c r="AB243" s="29"/>
      <c r="AC243" s="29"/>
      <c r="AD243" t="str">
        <f t="shared" si="24"/>
        <v/>
      </c>
    </row>
    <row r="244" spans="1:30" x14ac:dyDescent="0.3">
      <c r="A244" s="23">
        <v>243</v>
      </c>
      <c r="B244" s="30"/>
      <c r="C244" s="30"/>
      <c r="D244" s="30"/>
      <c r="E244" s="24"/>
      <c r="F244" s="24"/>
      <c r="G244" s="34"/>
      <c r="H244" s="24"/>
      <c r="I244" s="23" t="str">
        <f t="shared" si="22"/>
        <v/>
      </c>
      <c r="J244" s="23" t="str">
        <f t="shared" si="23"/>
        <v/>
      </c>
      <c r="K244" s="23"/>
      <c r="L244" s="23"/>
      <c r="M244" s="23"/>
      <c r="N244" s="29"/>
      <c r="O244" s="29"/>
      <c r="P244" s="29"/>
      <c r="Q244" s="29"/>
      <c r="R244" s="29"/>
      <c r="S244" s="29"/>
      <c r="T244" s="29"/>
      <c r="U244" s="29"/>
      <c r="V244" s="29"/>
      <c r="W244" s="34"/>
      <c r="X244" s="29"/>
      <c r="Y244" s="29"/>
      <c r="Z244" s="29"/>
      <c r="AA244" s="29"/>
      <c r="AB244" s="29"/>
      <c r="AC244" s="29"/>
      <c r="AD244" t="str">
        <f t="shared" si="24"/>
        <v/>
      </c>
    </row>
    <row r="245" spans="1:30" x14ac:dyDescent="0.3">
      <c r="A245" s="23">
        <v>244</v>
      </c>
      <c r="B245" s="30"/>
      <c r="C245" s="30"/>
      <c r="D245" s="30"/>
      <c r="E245" s="24"/>
      <c r="F245" s="24"/>
      <c r="G245" s="34"/>
      <c r="H245" s="24"/>
      <c r="I245" s="23" t="str">
        <f t="shared" si="22"/>
        <v/>
      </c>
      <c r="J245" s="23" t="str">
        <f t="shared" si="23"/>
        <v/>
      </c>
      <c r="K245" s="23"/>
      <c r="L245" s="23"/>
      <c r="M245" s="23"/>
      <c r="N245" s="29"/>
      <c r="O245" s="29"/>
      <c r="P245" s="29"/>
      <c r="Q245" s="29"/>
      <c r="R245" s="29"/>
      <c r="S245" s="29"/>
      <c r="T245" s="29"/>
      <c r="U245" s="29"/>
      <c r="V245" s="29"/>
      <c r="W245" s="34"/>
      <c r="X245" s="29"/>
      <c r="Y245" s="29"/>
      <c r="Z245" s="29"/>
      <c r="AA245" s="29"/>
      <c r="AB245" s="29"/>
      <c r="AC245" s="29"/>
      <c r="AD245" t="str">
        <f t="shared" si="24"/>
        <v/>
      </c>
    </row>
    <row r="246" spans="1:30" x14ac:dyDescent="0.3">
      <c r="A246" s="23">
        <v>245</v>
      </c>
      <c r="B246" s="30"/>
      <c r="C246" s="30"/>
      <c r="D246" s="30"/>
      <c r="E246" s="24"/>
      <c r="F246" s="24"/>
      <c r="G246" s="34"/>
      <c r="H246" s="24"/>
      <c r="I246" s="23" t="str">
        <f t="shared" si="22"/>
        <v/>
      </c>
      <c r="J246" s="23" t="str">
        <f t="shared" si="23"/>
        <v/>
      </c>
      <c r="K246" s="23"/>
      <c r="L246" s="23"/>
      <c r="M246" s="23"/>
      <c r="N246" s="29"/>
      <c r="O246" s="29"/>
      <c r="P246" s="29"/>
      <c r="Q246" s="29"/>
      <c r="R246" s="29"/>
      <c r="S246" s="29"/>
      <c r="T246" s="29"/>
      <c r="U246" s="29"/>
      <c r="V246" s="29"/>
      <c r="W246" s="34"/>
      <c r="X246" s="29"/>
      <c r="Y246" s="29"/>
      <c r="Z246" s="29"/>
      <c r="AA246" s="29"/>
      <c r="AB246" s="29"/>
      <c r="AC246" s="29"/>
      <c r="AD246" t="str">
        <f t="shared" si="24"/>
        <v/>
      </c>
    </row>
    <row r="247" spans="1:30" x14ac:dyDescent="0.3">
      <c r="A247" s="23">
        <v>246</v>
      </c>
      <c r="B247" s="30"/>
      <c r="C247" s="30"/>
      <c r="D247" s="30"/>
      <c r="E247" s="24"/>
      <c r="F247" s="24"/>
      <c r="G247" s="34"/>
      <c r="H247" s="24"/>
      <c r="I247" s="23" t="str">
        <f t="shared" si="22"/>
        <v/>
      </c>
      <c r="J247" s="23" t="str">
        <f t="shared" si="23"/>
        <v/>
      </c>
      <c r="K247" s="23"/>
      <c r="L247" s="23"/>
      <c r="M247" s="23"/>
      <c r="N247" s="29"/>
      <c r="O247" s="29"/>
      <c r="P247" s="29"/>
      <c r="Q247" s="29"/>
      <c r="R247" s="29"/>
      <c r="S247" s="29"/>
      <c r="T247" s="29"/>
      <c r="U247" s="29"/>
      <c r="V247" s="29"/>
      <c r="W247" s="34"/>
      <c r="X247" s="29"/>
      <c r="Y247" s="29"/>
      <c r="Z247" s="29"/>
      <c r="AA247" s="29"/>
      <c r="AB247" s="29"/>
      <c r="AC247" s="29"/>
      <c r="AD247" t="str">
        <f t="shared" si="24"/>
        <v/>
      </c>
    </row>
    <row r="248" spans="1:30" x14ac:dyDescent="0.3">
      <c r="A248" s="23">
        <v>247</v>
      </c>
      <c r="B248" s="30"/>
      <c r="C248" s="30"/>
      <c r="D248" s="30"/>
      <c r="E248" s="24"/>
      <c r="F248" s="24"/>
      <c r="G248" s="34"/>
      <c r="H248" s="24"/>
      <c r="I248" s="23" t="str">
        <f t="shared" si="22"/>
        <v/>
      </c>
      <c r="J248" s="23" t="str">
        <f t="shared" si="23"/>
        <v/>
      </c>
      <c r="K248" s="23"/>
      <c r="L248" s="23"/>
      <c r="M248" s="23"/>
      <c r="N248" s="29"/>
      <c r="O248" s="29"/>
      <c r="P248" s="29"/>
      <c r="Q248" s="29"/>
      <c r="R248" s="29"/>
      <c r="S248" s="29"/>
      <c r="T248" s="29"/>
      <c r="U248" s="29"/>
      <c r="V248" s="29"/>
      <c r="W248" s="34"/>
      <c r="X248" s="29"/>
      <c r="Y248" s="29"/>
      <c r="Z248" s="29"/>
      <c r="AA248" s="29"/>
      <c r="AB248" s="29"/>
      <c r="AC248" s="29"/>
      <c r="AD248" t="str">
        <f t="shared" si="24"/>
        <v/>
      </c>
    </row>
    <row r="249" spans="1:30" x14ac:dyDescent="0.3">
      <c r="A249" s="23">
        <v>248</v>
      </c>
      <c r="B249" s="30"/>
      <c r="C249" s="30"/>
      <c r="D249" s="30"/>
      <c r="E249" s="24"/>
      <c r="F249" s="24"/>
      <c r="G249" s="34"/>
      <c r="H249" s="24"/>
      <c r="I249" s="23" t="str">
        <f t="shared" si="22"/>
        <v/>
      </c>
      <c r="J249" s="23" t="str">
        <f t="shared" si="23"/>
        <v/>
      </c>
      <c r="K249" s="23"/>
      <c r="L249" s="23"/>
      <c r="M249" s="23"/>
      <c r="N249" s="29"/>
      <c r="O249" s="29"/>
      <c r="P249" s="29"/>
      <c r="Q249" s="29"/>
      <c r="R249" s="29"/>
      <c r="S249" s="29"/>
      <c r="T249" s="29"/>
      <c r="U249" s="29"/>
      <c r="V249" s="29"/>
      <c r="W249" s="34"/>
      <c r="X249" s="29"/>
      <c r="Y249" s="29"/>
      <c r="Z249" s="29"/>
      <c r="AA249" s="29"/>
      <c r="AB249" s="29"/>
      <c r="AC249" s="29"/>
      <c r="AD249" t="str">
        <f t="shared" si="24"/>
        <v/>
      </c>
    </row>
    <row r="250" spans="1:30" x14ac:dyDescent="0.3">
      <c r="A250" s="23">
        <v>249</v>
      </c>
      <c r="B250" s="30"/>
      <c r="C250" s="30"/>
      <c r="D250" s="30"/>
      <c r="E250" s="24"/>
      <c r="F250" s="24"/>
      <c r="G250" s="34"/>
      <c r="H250" s="24"/>
      <c r="I250" s="23" t="str">
        <f t="shared" si="22"/>
        <v/>
      </c>
      <c r="J250" s="23" t="str">
        <f t="shared" si="23"/>
        <v/>
      </c>
      <c r="K250" s="23"/>
      <c r="L250" s="23"/>
      <c r="M250" s="23"/>
      <c r="N250" s="29"/>
      <c r="O250" s="29"/>
      <c r="P250" s="29"/>
      <c r="Q250" s="29"/>
      <c r="R250" s="29"/>
      <c r="S250" s="29"/>
      <c r="T250" s="29"/>
      <c r="U250" s="29"/>
      <c r="V250" s="29"/>
      <c r="W250" s="34"/>
      <c r="X250" s="29"/>
      <c r="Y250" s="29"/>
      <c r="Z250" s="29"/>
      <c r="AA250" s="29"/>
      <c r="AB250" s="29"/>
      <c r="AC250" s="29"/>
      <c r="AD250" t="str">
        <f t="shared" si="24"/>
        <v/>
      </c>
    </row>
    <row r="251" spans="1:30" x14ac:dyDescent="0.3">
      <c r="A251" s="23">
        <v>250</v>
      </c>
      <c r="B251" s="30"/>
      <c r="C251" s="30"/>
      <c r="D251" s="30"/>
      <c r="E251" s="24"/>
      <c r="F251" s="24"/>
      <c r="G251" s="34"/>
      <c r="H251" s="24"/>
      <c r="I251" s="23" t="str">
        <f t="shared" si="22"/>
        <v/>
      </c>
      <c r="J251" s="23" t="str">
        <f t="shared" si="23"/>
        <v/>
      </c>
      <c r="K251" s="23"/>
      <c r="L251" s="23"/>
      <c r="M251" s="23"/>
      <c r="N251" s="29"/>
      <c r="O251" s="29"/>
      <c r="P251" s="29"/>
      <c r="Q251" s="29"/>
      <c r="R251" s="29"/>
      <c r="S251" s="29"/>
      <c r="T251" s="29"/>
      <c r="U251" s="29"/>
      <c r="V251" s="29"/>
      <c r="W251" s="34"/>
      <c r="X251" s="29"/>
      <c r="Y251" s="29"/>
      <c r="Z251" s="29"/>
      <c r="AA251" s="29"/>
      <c r="AB251" s="29"/>
      <c r="AC251" s="29"/>
      <c r="AD251" t="str">
        <f t="shared" si="24"/>
        <v/>
      </c>
    </row>
    <row r="252" spans="1:30" x14ac:dyDescent="0.3">
      <c r="A252" s="23">
        <v>251</v>
      </c>
      <c r="B252" s="30"/>
      <c r="C252" s="30"/>
      <c r="D252" s="30"/>
      <c r="E252" s="24"/>
      <c r="F252" s="24"/>
      <c r="G252" s="34"/>
      <c r="H252" s="24"/>
      <c r="I252" s="23" t="str">
        <f t="shared" si="22"/>
        <v/>
      </c>
      <c r="J252" s="23" t="str">
        <f t="shared" si="23"/>
        <v/>
      </c>
      <c r="K252" s="23"/>
      <c r="L252" s="23"/>
      <c r="M252" s="23"/>
      <c r="N252" s="29"/>
      <c r="O252" s="29"/>
      <c r="P252" s="29"/>
      <c r="Q252" s="29"/>
      <c r="R252" s="29"/>
      <c r="S252" s="29"/>
      <c r="T252" s="29"/>
      <c r="U252" s="29"/>
      <c r="V252" s="29"/>
      <c r="W252" s="34"/>
      <c r="X252" s="29"/>
      <c r="Y252" s="29"/>
      <c r="Z252" s="29"/>
      <c r="AA252" s="29"/>
      <c r="AB252" s="29"/>
      <c r="AC252" s="29"/>
      <c r="AD252" t="str">
        <f t="shared" si="24"/>
        <v/>
      </c>
    </row>
    <row r="253" spans="1:30" x14ac:dyDescent="0.3">
      <c r="A253" s="23">
        <v>252</v>
      </c>
      <c r="B253" s="30"/>
      <c r="C253" s="30"/>
      <c r="D253" s="30"/>
      <c r="E253" s="24"/>
      <c r="F253" s="24"/>
      <c r="G253" s="34"/>
      <c r="H253" s="24"/>
      <c r="I253" s="23" t="str">
        <f t="shared" si="22"/>
        <v/>
      </c>
      <c r="J253" s="23" t="str">
        <f t="shared" si="23"/>
        <v/>
      </c>
      <c r="K253" s="23"/>
      <c r="L253" s="23"/>
      <c r="M253" s="23"/>
      <c r="N253" s="29"/>
      <c r="O253" s="29"/>
      <c r="P253" s="29"/>
      <c r="Q253" s="29"/>
      <c r="R253" s="29"/>
      <c r="S253" s="29"/>
      <c r="T253" s="29"/>
      <c r="U253" s="29"/>
      <c r="V253" s="29"/>
      <c r="W253" s="34"/>
      <c r="X253" s="29"/>
      <c r="Y253" s="29"/>
      <c r="Z253" s="29"/>
      <c r="AA253" s="29"/>
      <c r="AB253" s="29"/>
      <c r="AC253" s="29"/>
      <c r="AD253" t="str">
        <f t="shared" si="24"/>
        <v/>
      </c>
    </row>
    <row r="254" spans="1:30" x14ac:dyDescent="0.3">
      <c r="A254" s="23">
        <v>253</v>
      </c>
      <c r="B254" s="30"/>
      <c r="C254" s="30"/>
      <c r="D254" s="30"/>
      <c r="E254" s="24"/>
      <c r="F254" s="24"/>
      <c r="G254" s="34"/>
      <c r="H254" s="24"/>
      <c r="I254" s="23" t="str">
        <f t="shared" si="22"/>
        <v/>
      </c>
      <c r="J254" s="23" t="str">
        <f t="shared" si="23"/>
        <v/>
      </c>
      <c r="K254" s="23"/>
      <c r="L254" s="23"/>
      <c r="M254" s="23"/>
      <c r="N254" s="29"/>
      <c r="O254" s="29"/>
      <c r="P254" s="29"/>
      <c r="Q254" s="29"/>
      <c r="R254" s="29"/>
      <c r="S254" s="29"/>
      <c r="T254" s="29"/>
      <c r="U254" s="29"/>
      <c r="V254" s="29"/>
      <c r="W254" s="34"/>
      <c r="X254" s="29"/>
      <c r="Y254" s="29"/>
      <c r="Z254" s="29"/>
      <c r="AA254" s="29"/>
      <c r="AB254" s="29"/>
      <c r="AC254" s="29"/>
      <c r="AD254" t="str">
        <f t="shared" si="24"/>
        <v/>
      </c>
    </row>
    <row r="255" spans="1:30" x14ac:dyDescent="0.3">
      <c r="A255" s="23">
        <v>254</v>
      </c>
      <c r="B255" s="30"/>
      <c r="C255" s="30"/>
      <c r="D255" s="30"/>
      <c r="E255" s="24"/>
      <c r="F255" s="24"/>
      <c r="G255" s="34"/>
      <c r="H255" s="24"/>
      <c r="I255" s="23" t="str">
        <f t="shared" si="22"/>
        <v/>
      </c>
      <c r="J255" s="23" t="str">
        <f t="shared" si="23"/>
        <v/>
      </c>
      <c r="K255" s="23"/>
      <c r="L255" s="23"/>
      <c r="M255" s="23"/>
      <c r="N255" s="29"/>
      <c r="O255" s="29"/>
      <c r="P255" s="29"/>
      <c r="Q255" s="29"/>
      <c r="R255" s="29"/>
      <c r="S255" s="29"/>
      <c r="T255" s="29"/>
      <c r="U255" s="29"/>
      <c r="V255" s="29"/>
      <c r="W255" s="34"/>
      <c r="X255" s="29"/>
      <c r="Y255" s="29"/>
      <c r="Z255" s="29"/>
      <c r="AA255" s="29"/>
      <c r="AB255" s="29"/>
      <c r="AC255" s="29"/>
      <c r="AD255" t="str">
        <f t="shared" si="24"/>
        <v/>
      </c>
    </row>
    <row r="256" spans="1:30" x14ac:dyDescent="0.3">
      <c r="A256" s="23">
        <v>255</v>
      </c>
      <c r="B256" s="30"/>
      <c r="C256" s="30"/>
      <c r="D256" s="30"/>
      <c r="E256" s="24"/>
      <c r="F256" s="24"/>
      <c r="G256" s="34"/>
      <c r="H256" s="24"/>
      <c r="I256" s="23" t="str">
        <f t="shared" si="22"/>
        <v/>
      </c>
      <c r="J256" s="23" t="str">
        <f t="shared" si="23"/>
        <v/>
      </c>
      <c r="K256" s="23"/>
      <c r="L256" s="23"/>
      <c r="M256" s="23"/>
      <c r="N256" s="29"/>
      <c r="O256" s="29"/>
      <c r="P256" s="29"/>
      <c r="Q256" s="29"/>
      <c r="R256" s="29"/>
      <c r="S256" s="29"/>
      <c r="T256" s="29"/>
      <c r="U256" s="29"/>
      <c r="V256" s="29"/>
      <c r="W256" s="34"/>
      <c r="X256" s="29"/>
      <c r="Y256" s="29"/>
      <c r="Z256" s="29"/>
      <c r="AA256" s="29"/>
      <c r="AB256" s="29"/>
      <c r="AC256" s="29"/>
      <c r="AD256" t="str">
        <f t="shared" si="24"/>
        <v/>
      </c>
    </row>
    <row r="257" spans="1:30" x14ac:dyDescent="0.3">
      <c r="A257" s="23">
        <v>256</v>
      </c>
      <c r="B257" s="30"/>
      <c r="C257" s="30"/>
      <c r="D257" s="30"/>
      <c r="E257" s="24"/>
      <c r="F257" s="24"/>
      <c r="G257" s="34"/>
      <c r="H257" s="24"/>
      <c r="I257" s="23" t="str">
        <f t="shared" si="22"/>
        <v/>
      </c>
      <c r="J257" s="23" t="str">
        <f t="shared" si="23"/>
        <v/>
      </c>
      <c r="K257" s="23"/>
      <c r="L257" s="23"/>
      <c r="M257" s="23"/>
      <c r="N257" s="29"/>
      <c r="O257" s="29"/>
      <c r="P257" s="29"/>
      <c r="Q257" s="29"/>
      <c r="R257" s="29"/>
      <c r="S257" s="29"/>
      <c r="T257" s="29"/>
      <c r="U257" s="29"/>
      <c r="V257" s="29"/>
      <c r="W257" s="34"/>
      <c r="X257" s="29"/>
      <c r="Y257" s="29"/>
      <c r="Z257" s="29"/>
      <c r="AA257" s="29"/>
      <c r="AB257" s="29"/>
      <c r="AC257" s="29"/>
      <c r="AD257" t="str">
        <f t="shared" si="24"/>
        <v/>
      </c>
    </row>
    <row r="258" spans="1:30" x14ac:dyDescent="0.3">
      <c r="A258" s="23">
        <v>257</v>
      </c>
      <c r="B258" s="30"/>
      <c r="C258" s="30"/>
      <c r="D258" s="30"/>
      <c r="E258" s="24"/>
      <c r="F258" s="24"/>
      <c r="G258" s="34"/>
      <c r="H258" s="24"/>
      <c r="I258" s="23" t="str">
        <f t="shared" ref="I258:I301" si="25">IF($H258="","",IF(UPPER(TRIM($H258))="YES","YES",IF($N258&gt;=BASIC_CAP,"NO","YES")))</f>
        <v/>
      </c>
      <c r="J258" s="23" t="str">
        <f t="shared" ref="J258:J301" si="26">IF($G258="","",IF($G258&lt;=ESIC_LIMIT,"YES","NO"))</f>
        <v/>
      </c>
      <c r="K258" s="23"/>
      <c r="L258" s="23"/>
      <c r="M258" s="23"/>
      <c r="N258" s="29"/>
      <c r="O258" s="29"/>
      <c r="P258" s="29"/>
      <c r="Q258" s="29"/>
      <c r="R258" s="29"/>
      <c r="S258" s="29"/>
      <c r="T258" s="29"/>
      <c r="U258" s="29"/>
      <c r="V258" s="29"/>
      <c r="W258" s="34"/>
      <c r="X258" s="29"/>
      <c r="Y258" s="29"/>
      <c r="Z258" s="29"/>
      <c r="AA258" s="29"/>
      <c r="AB258" s="29"/>
      <c r="AC258" s="29"/>
      <c r="AD258" t="str">
        <f t="shared" ref="AD258:AD301" si="27">IF(G258="","",IF(G258&lt;F258,"⚠ Gross &lt; Minimum Wage",""))</f>
        <v/>
      </c>
    </row>
    <row r="259" spans="1:30" x14ac:dyDescent="0.3">
      <c r="A259" s="23">
        <v>258</v>
      </c>
      <c r="B259" s="30"/>
      <c r="C259" s="30"/>
      <c r="D259" s="30"/>
      <c r="E259" s="24"/>
      <c r="F259" s="24"/>
      <c r="G259" s="34"/>
      <c r="H259" s="24"/>
      <c r="I259" s="23" t="str">
        <f t="shared" si="25"/>
        <v/>
      </c>
      <c r="J259" s="23" t="str">
        <f t="shared" si="26"/>
        <v/>
      </c>
      <c r="K259" s="23"/>
      <c r="L259" s="23"/>
      <c r="M259" s="23"/>
      <c r="N259" s="29"/>
      <c r="O259" s="29"/>
      <c r="P259" s="29"/>
      <c r="Q259" s="29"/>
      <c r="R259" s="29"/>
      <c r="S259" s="29"/>
      <c r="T259" s="29"/>
      <c r="U259" s="29"/>
      <c r="V259" s="29"/>
      <c r="W259" s="34"/>
      <c r="X259" s="29"/>
      <c r="Y259" s="29"/>
      <c r="Z259" s="29"/>
      <c r="AA259" s="29"/>
      <c r="AB259" s="29"/>
      <c r="AC259" s="29"/>
      <c r="AD259" t="str">
        <f t="shared" si="27"/>
        <v/>
      </c>
    </row>
    <row r="260" spans="1:30" x14ac:dyDescent="0.3">
      <c r="A260" s="23">
        <v>259</v>
      </c>
      <c r="B260" s="30"/>
      <c r="C260" s="30"/>
      <c r="D260" s="30"/>
      <c r="E260" s="24"/>
      <c r="F260" s="24"/>
      <c r="G260" s="34"/>
      <c r="H260" s="24"/>
      <c r="I260" s="23" t="str">
        <f t="shared" si="25"/>
        <v/>
      </c>
      <c r="J260" s="23" t="str">
        <f t="shared" si="26"/>
        <v/>
      </c>
      <c r="K260" s="23"/>
      <c r="L260" s="23"/>
      <c r="M260" s="23"/>
      <c r="N260" s="29"/>
      <c r="O260" s="29"/>
      <c r="P260" s="29"/>
      <c r="Q260" s="29"/>
      <c r="R260" s="29"/>
      <c r="S260" s="29"/>
      <c r="T260" s="29"/>
      <c r="U260" s="29"/>
      <c r="V260" s="29"/>
      <c r="W260" s="34"/>
      <c r="X260" s="29"/>
      <c r="Y260" s="29"/>
      <c r="Z260" s="29"/>
      <c r="AA260" s="29"/>
      <c r="AB260" s="29"/>
      <c r="AC260" s="29"/>
      <c r="AD260" t="str">
        <f t="shared" si="27"/>
        <v/>
      </c>
    </row>
    <row r="261" spans="1:30" x14ac:dyDescent="0.3">
      <c r="A261" s="23">
        <v>260</v>
      </c>
      <c r="B261" s="30"/>
      <c r="C261" s="30"/>
      <c r="D261" s="30"/>
      <c r="E261" s="24"/>
      <c r="F261" s="24"/>
      <c r="G261" s="34"/>
      <c r="H261" s="24"/>
      <c r="I261" s="23" t="str">
        <f t="shared" si="25"/>
        <v/>
      </c>
      <c r="J261" s="23" t="str">
        <f t="shared" si="26"/>
        <v/>
      </c>
      <c r="K261" s="23"/>
      <c r="L261" s="23"/>
      <c r="M261" s="23"/>
      <c r="N261" s="29"/>
      <c r="O261" s="29"/>
      <c r="P261" s="29"/>
      <c r="Q261" s="29"/>
      <c r="R261" s="29"/>
      <c r="S261" s="29"/>
      <c r="T261" s="29"/>
      <c r="U261" s="29"/>
      <c r="V261" s="29"/>
      <c r="W261" s="34"/>
      <c r="X261" s="29"/>
      <c r="Y261" s="29"/>
      <c r="Z261" s="29"/>
      <c r="AA261" s="29"/>
      <c r="AB261" s="29"/>
      <c r="AC261" s="29"/>
      <c r="AD261" t="str">
        <f t="shared" si="27"/>
        <v/>
      </c>
    </row>
    <row r="262" spans="1:30" x14ac:dyDescent="0.3">
      <c r="A262" s="23">
        <v>261</v>
      </c>
      <c r="B262" s="30"/>
      <c r="C262" s="30"/>
      <c r="D262" s="30"/>
      <c r="E262" s="24"/>
      <c r="F262" s="24"/>
      <c r="G262" s="34"/>
      <c r="H262" s="24"/>
      <c r="I262" s="23" t="str">
        <f t="shared" si="25"/>
        <v/>
      </c>
      <c r="J262" s="23" t="str">
        <f t="shared" si="26"/>
        <v/>
      </c>
      <c r="K262" s="23"/>
      <c r="L262" s="23"/>
      <c r="M262" s="23"/>
      <c r="N262" s="29"/>
      <c r="O262" s="29"/>
      <c r="P262" s="29"/>
      <c r="Q262" s="29"/>
      <c r="R262" s="29"/>
      <c r="S262" s="29"/>
      <c r="T262" s="29"/>
      <c r="U262" s="29"/>
      <c r="V262" s="29"/>
      <c r="W262" s="34"/>
      <c r="X262" s="29"/>
      <c r="Y262" s="29"/>
      <c r="Z262" s="29"/>
      <c r="AA262" s="29"/>
      <c r="AB262" s="29"/>
      <c r="AC262" s="29"/>
      <c r="AD262" t="str">
        <f t="shared" si="27"/>
        <v/>
      </c>
    </row>
    <row r="263" spans="1:30" x14ac:dyDescent="0.3">
      <c r="A263" s="23">
        <v>262</v>
      </c>
      <c r="B263" s="30"/>
      <c r="C263" s="30"/>
      <c r="D263" s="30"/>
      <c r="E263" s="24"/>
      <c r="F263" s="24"/>
      <c r="G263" s="34"/>
      <c r="H263" s="24"/>
      <c r="I263" s="23" t="str">
        <f t="shared" si="25"/>
        <v/>
      </c>
      <c r="J263" s="23" t="str">
        <f t="shared" si="26"/>
        <v/>
      </c>
      <c r="K263" s="23"/>
      <c r="L263" s="23"/>
      <c r="M263" s="23"/>
      <c r="N263" s="29"/>
      <c r="O263" s="29"/>
      <c r="P263" s="29"/>
      <c r="Q263" s="29"/>
      <c r="R263" s="29"/>
      <c r="S263" s="29"/>
      <c r="T263" s="29"/>
      <c r="U263" s="29"/>
      <c r="V263" s="29"/>
      <c r="W263" s="34"/>
      <c r="X263" s="29"/>
      <c r="Y263" s="29"/>
      <c r="Z263" s="29"/>
      <c r="AA263" s="29"/>
      <c r="AB263" s="29"/>
      <c r="AC263" s="29"/>
      <c r="AD263" t="str">
        <f t="shared" si="27"/>
        <v/>
      </c>
    </row>
    <row r="264" spans="1:30" x14ac:dyDescent="0.3">
      <c r="A264" s="23">
        <v>263</v>
      </c>
      <c r="B264" s="30"/>
      <c r="C264" s="30"/>
      <c r="D264" s="30"/>
      <c r="E264" s="24"/>
      <c r="F264" s="24"/>
      <c r="G264" s="34"/>
      <c r="H264" s="24"/>
      <c r="I264" s="23" t="str">
        <f t="shared" si="25"/>
        <v/>
      </c>
      <c r="J264" s="23" t="str">
        <f t="shared" si="26"/>
        <v/>
      </c>
      <c r="K264" s="23"/>
      <c r="L264" s="23"/>
      <c r="M264" s="23"/>
      <c r="N264" s="29"/>
      <c r="O264" s="29"/>
      <c r="P264" s="29"/>
      <c r="Q264" s="29"/>
      <c r="R264" s="29"/>
      <c r="S264" s="29"/>
      <c r="T264" s="29"/>
      <c r="U264" s="29"/>
      <c r="V264" s="29"/>
      <c r="W264" s="34"/>
      <c r="X264" s="29"/>
      <c r="Y264" s="29"/>
      <c r="Z264" s="29"/>
      <c r="AA264" s="29"/>
      <c r="AB264" s="29"/>
      <c r="AC264" s="29"/>
      <c r="AD264" t="str">
        <f t="shared" si="27"/>
        <v/>
      </c>
    </row>
    <row r="265" spans="1:30" x14ac:dyDescent="0.3">
      <c r="A265" s="23">
        <v>264</v>
      </c>
      <c r="B265" s="30"/>
      <c r="C265" s="30"/>
      <c r="D265" s="30"/>
      <c r="E265" s="24"/>
      <c r="F265" s="24"/>
      <c r="G265" s="34"/>
      <c r="H265" s="24"/>
      <c r="I265" s="23" t="str">
        <f t="shared" si="25"/>
        <v/>
      </c>
      <c r="J265" s="23" t="str">
        <f t="shared" si="26"/>
        <v/>
      </c>
      <c r="K265" s="23"/>
      <c r="L265" s="23"/>
      <c r="M265" s="23"/>
      <c r="N265" s="29"/>
      <c r="O265" s="29"/>
      <c r="P265" s="29"/>
      <c r="Q265" s="29"/>
      <c r="R265" s="29"/>
      <c r="S265" s="29"/>
      <c r="T265" s="29"/>
      <c r="U265" s="29"/>
      <c r="V265" s="29"/>
      <c r="W265" s="34"/>
      <c r="X265" s="29"/>
      <c r="Y265" s="29"/>
      <c r="Z265" s="29"/>
      <c r="AA265" s="29"/>
      <c r="AB265" s="29"/>
      <c r="AC265" s="29"/>
      <c r="AD265" t="str">
        <f t="shared" si="27"/>
        <v/>
      </c>
    </row>
    <row r="266" spans="1:30" x14ac:dyDescent="0.3">
      <c r="A266" s="23">
        <v>265</v>
      </c>
      <c r="B266" s="30"/>
      <c r="C266" s="30"/>
      <c r="D266" s="30"/>
      <c r="E266" s="24"/>
      <c r="F266" s="24"/>
      <c r="G266" s="34"/>
      <c r="H266" s="24"/>
      <c r="I266" s="23" t="str">
        <f t="shared" si="25"/>
        <v/>
      </c>
      <c r="J266" s="23" t="str">
        <f t="shared" si="26"/>
        <v/>
      </c>
      <c r="K266" s="23"/>
      <c r="L266" s="23"/>
      <c r="M266" s="23"/>
      <c r="N266" s="29"/>
      <c r="O266" s="29"/>
      <c r="P266" s="29"/>
      <c r="Q266" s="29"/>
      <c r="R266" s="29"/>
      <c r="S266" s="29"/>
      <c r="T266" s="29"/>
      <c r="U266" s="29"/>
      <c r="V266" s="29"/>
      <c r="W266" s="34"/>
      <c r="X266" s="29"/>
      <c r="Y266" s="29"/>
      <c r="Z266" s="29"/>
      <c r="AA266" s="29"/>
      <c r="AB266" s="29"/>
      <c r="AC266" s="29"/>
      <c r="AD266" t="str">
        <f t="shared" si="27"/>
        <v/>
      </c>
    </row>
    <row r="267" spans="1:30" x14ac:dyDescent="0.3">
      <c r="A267" s="23">
        <v>266</v>
      </c>
      <c r="B267" s="30"/>
      <c r="C267" s="30"/>
      <c r="D267" s="30"/>
      <c r="E267" s="24"/>
      <c r="F267" s="24"/>
      <c r="G267" s="34"/>
      <c r="H267" s="24"/>
      <c r="I267" s="23" t="str">
        <f t="shared" si="25"/>
        <v/>
      </c>
      <c r="J267" s="23" t="str">
        <f t="shared" si="26"/>
        <v/>
      </c>
      <c r="K267" s="23"/>
      <c r="L267" s="23"/>
      <c r="M267" s="23"/>
      <c r="N267" s="29"/>
      <c r="O267" s="29"/>
      <c r="P267" s="29"/>
      <c r="Q267" s="29"/>
      <c r="R267" s="29"/>
      <c r="S267" s="29"/>
      <c r="T267" s="29"/>
      <c r="U267" s="29"/>
      <c r="V267" s="29"/>
      <c r="W267" s="34"/>
      <c r="X267" s="29"/>
      <c r="Y267" s="29"/>
      <c r="Z267" s="29"/>
      <c r="AA267" s="29"/>
      <c r="AB267" s="29"/>
      <c r="AC267" s="29"/>
      <c r="AD267" t="str">
        <f t="shared" si="27"/>
        <v/>
      </c>
    </row>
    <row r="268" spans="1:30" x14ac:dyDescent="0.3">
      <c r="A268" s="23">
        <v>267</v>
      </c>
      <c r="B268" s="30"/>
      <c r="C268" s="30"/>
      <c r="D268" s="30"/>
      <c r="E268" s="24"/>
      <c r="F268" s="24"/>
      <c r="G268" s="34"/>
      <c r="H268" s="24"/>
      <c r="I268" s="23" t="str">
        <f t="shared" si="25"/>
        <v/>
      </c>
      <c r="J268" s="23" t="str">
        <f t="shared" si="26"/>
        <v/>
      </c>
      <c r="K268" s="23"/>
      <c r="L268" s="23"/>
      <c r="M268" s="23"/>
      <c r="N268" s="29"/>
      <c r="O268" s="29"/>
      <c r="P268" s="29"/>
      <c r="Q268" s="29"/>
      <c r="R268" s="29"/>
      <c r="S268" s="29"/>
      <c r="T268" s="29"/>
      <c r="U268" s="29"/>
      <c r="V268" s="29"/>
      <c r="W268" s="34"/>
      <c r="X268" s="29"/>
      <c r="Y268" s="29"/>
      <c r="Z268" s="29"/>
      <c r="AA268" s="29"/>
      <c r="AB268" s="29"/>
      <c r="AC268" s="29"/>
      <c r="AD268" t="str">
        <f t="shared" si="27"/>
        <v/>
      </c>
    </row>
    <row r="269" spans="1:30" x14ac:dyDescent="0.3">
      <c r="A269" s="23">
        <v>268</v>
      </c>
      <c r="B269" s="30"/>
      <c r="C269" s="30"/>
      <c r="D269" s="30"/>
      <c r="E269" s="24"/>
      <c r="F269" s="24"/>
      <c r="G269" s="34"/>
      <c r="H269" s="24"/>
      <c r="I269" s="23" t="str">
        <f t="shared" si="25"/>
        <v/>
      </c>
      <c r="J269" s="23" t="str">
        <f t="shared" si="26"/>
        <v/>
      </c>
      <c r="K269" s="23"/>
      <c r="L269" s="23"/>
      <c r="M269" s="23"/>
      <c r="N269" s="29"/>
      <c r="O269" s="29"/>
      <c r="P269" s="29"/>
      <c r="Q269" s="29"/>
      <c r="R269" s="29"/>
      <c r="S269" s="29"/>
      <c r="T269" s="29"/>
      <c r="U269" s="29"/>
      <c r="V269" s="29"/>
      <c r="W269" s="34"/>
      <c r="X269" s="29"/>
      <c r="Y269" s="29"/>
      <c r="Z269" s="29"/>
      <c r="AA269" s="29"/>
      <c r="AB269" s="29"/>
      <c r="AC269" s="29"/>
      <c r="AD269" t="str">
        <f t="shared" si="27"/>
        <v/>
      </c>
    </row>
    <row r="270" spans="1:30" x14ac:dyDescent="0.3">
      <c r="A270" s="23">
        <v>269</v>
      </c>
      <c r="B270" s="30"/>
      <c r="C270" s="30"/>
      <c r="D270" s="30"/>
      <c r="E270" s="24"/>
      <c r="F270" s="24"/>
      <c r="G270" s="34"/>
      <c r="H270" s="24"/>
      <c r="I270" s="23" t="str">
        <f t="shared" si="25"/>
        <v/>
      </c>
      <c r="J270" s="23" t="str">
        <f t="shared" si="26"/>
        <v/>
      </c>
      <c r="K270" s="23"/>
      <c r="L270" s="23"/>
      <c r="M270" s="23"/>
      <c r="N270" s="29"/>
      <c r="O270" s="29"/>
      <c r="P270" s="29"/>
      <c r="Q270" s="29"/>
      <c r="R270" s="29"/>
      <c r="S270" s="29"/>
      <c r="T270" s="29"/>
      <c r="U270" s="29"/>
      <c r="V270" s="29"/>
      <c r="W270" s="34"/>
      <c r="X270" s="29"/>
      <c r="Y270" s="29"/>
      <c r="Z270" s="29"/>
      <c r="AA270" s="29"/>
      <c r="AB270" s="29"/>
      <c r="AC270" s="29"/>
      <c r="AD270" t="str">
        <f t="shared" si="27"/>
        <v/>
      </c>
    </row>
    <row r="271" spans="1:30" x14ac:dyDescent="0.3">
      <c r="A271" s="23">
        <v>270</v>
      </c>
      <c r="B271" s="30"/>
      <c r="C271" s="30"/>
      <c r="D271" s="30"/>
      <c r="E271" s="24"/>
      <c r="F271" s="24"/>
      <c r="G271" s="34"/>
      <c r="H271" s="24"/>
      <c r="I271" s="23" t="str">
        <f t="shared" si="25"/>
        <v/>
      </c>
      <c r="J271" s="23" t="str">
        <f t="shared" si="26"/>
        <v/>
      </c>
      <c r="K271" s="23"/>
      <c r="L271" s="23"/>
      <c r="M271" s="23"/>
      <c r="N271" s="29"/>
      <c r="O271" s="29"/>
      <c r="P271" s="29"/>
      <c r="Q271" s="29"/>
      <c r="R271" s="29"/>
      <c r="S271" s="29"/>
      <c r="T271" s="29"/>
      <c r="U271" s="29"/>
      <c r="V271" s="29"/>
      <c r="W271" s="34"/>
      <c r="X271" s="29"/>
      <c r="Y271" s="29"/>
      <c r="Z271" s="29"/>
      <c r="AA271" s="29"/>
      <c r="AB271" s="29"/>
      <c r="AC271" s="29"/>
      <c r="AD271" t="str">
        <f t="shared" si="27"/>
        <v/>
      </c>
    </row>
    <row r="272" spans="1:30" x14ac:dyDescent="0.3">
      <c r="A272" s="23">
        <v>271</v>
      </c>
      <c r="B272" s="30"/>
      <c r="C272" s="30"/>
      <c r="D272" s="30"/>
      <c r="E272" s="24"/>
      <c r="F272" s="24"/>
      <c r="G272" s="34"/>
      <c r="H272" s="24"/>
      <c r="I272" s="23" t="str">
        <f t="shared" si="25"/>
        <v/>
      </c>
      <c r="J272" s="23" t="str">
        <f t="shared" si="26"/>
        <v/>
      </c>
      <c r="K272" s="23"/>
      <c r="L272" s="23"/>
      <c r="M272" s="23"/>
      <c r="N272" s="29"/>
      <c r="O272" s="29"/>
      <c r="P272" s="29"/>
      <c r="Q272" s="29"/>
      <c r="R272" s="29"/>
      <c r="S272" s="29"/>
      <c r="T272" s="29"/>
      <c r="U272" s="29"/>
      <c r="V272" s="29"/>
      <c r="W272" s="34"/>
      <c r="X272" s="29"/>
      <c r="Y272" s="29"/>
      <c r="Z272" s="29"/>
      <c r="AA272" s="29"/>
      <c r="AB272" s="29"/>
      <c r="AC272" s="29"/>
      <c r="AD272" t="str">
        <f t="shared" si="27"/>
        <v/>
      </c>
    </row>
    <row r="273" spans="1:30" x14ac:dyDescent="0.3">
      <c r="A273" s="23">
        <v>272</v>
      </c>
      <c r="B273" s="30"/>
      <c r="C273" s="30"/>
      <c r="D273" s="30"/>
      <c r="E273" s="24"/>
      <c r="F273" s="24"/>
      <c r="G273" s="34"/>
      <c r="H273" s="24"/>
      <c r="I273" s="23" t="str">
        <f t="shared" si="25"/>
        <v/>
      </c>
      <c r="J273" s="23" t="str">
        <f t="shared" si="26"/>
        <v/>
      </c>
      <c r="K273" s="23"/>
      <c r="L273" s="23"/>
      <c r="M273" s="23"/>
      <c r="N273" s="29"/>
      <c r="O273" s="29"/>
      <c r="P273" s="29"/>
      <c r="Q273" s="29"/>
      <c r="R273" s="29"/>
      <c r="S273" s="29"/>
      <c r="T273" s="29"/>
      <c r="U273" s="29"/>
      <c r="V273" s="29"/>
      <c r="W273" s="34"/>
      <c r="X273" s="29"/>
      <c r="Y273" s="29"/>
      <c r="Z273" s="29"/>
      <c r="AA273" s="29"/>
      <c r="AB273" s="29"/>
      <c r="AC273" s="29"/>
      <c r="AD273" t="str">
        <f t="shared" si="27"/>
        <v/>
      </c>
    </row>
    <row r="274" spans="1:30" x14ac:dyDescent="0.3">
      <c r="A274" s="23">
        <v>273</v>
      </c>
      <c r="B274" s="30"/>
      <c r="C274" s="30"/>
      <c r="D274" s="30"/>
      <c r="E274" s="24"/>
      <c r="F274" s="24"/>
      <c r="G274" s="34"/>
      <c r="H274" s="24"/>
      <c r="I274" s="23" t="str">
        <f t="shared" si="25"/>
        <v/>
      </c>
      <c r="J274" s="23" t="str">
        <f t="shared" si="26"/>
        <v/>
      </c>
      <c r="K274" s="23"/>
      <c r="L274" s="23"/>
      <c r="M274" s="23"/>
      <c r="N274" s="29"/>
      <c r="O274" s="29"/>
      <c r="P274" s="29"/>
      <c r="Q274" s="29"/>
      <c r="R274" s="29"/>
      <c r="S274" s="29"/>
      <c r="T274" s="29"/>
      <c r="U274" s="29"/>
      <c r="V274" s="29"/>
      <c r="W274" s="34"/>
      <c r="X274" s="29"/>
      <c r="Y274" s="29"/>
      <c r="Z274" s="29"/>
      <c r="AA274" s="29"/>
      <c r="AB274" s="29"/>
      <c r="AC274" s="29"/>
      <c r="AD274" t="str">
        <f t="shared" si="27"/>
        <v/>
      </c>
    </row>
    <row r="275" spans="1:30" x14ac:dyDescent="0.3">
      <c r="A275" s="23">
        <v>274</v>
      </c>
      <c r="B275" s="30"/>
      <c r="C275" s="30"/>
      <c r="D275" s="30"/>
      <c r="E275" s="24"/>
      <c r="F275" s="24"/>
      <c r="G275" s="34"/>
      <c r="H275" s="24"/>
      <c r="I275" s="23" t="str">
        <f t="shared" si="25"/>
        <v/>
      </c>
      <c r="J275" s="23" t="str">
        <f t="shared" si="26"/>
        <v/>
      </c>
      <c r="K275" s="23"/>
      <c r="L275" s="23"/>
      <c r="M275" s="23"/>
      <c r="N275" s="29"/>
      <c r="O275" s="29"/>
      <c r="P275" s="29"/>
      <c r="Q275" s="29"/>
      <c r="R275" s="29"/>
      <c r="S275" s="29"/>
      <c r="T275" s="29"/>
      <c r="U275" s="29"/>
      <c r="V275" s="29"/>
      <c r="W275" s="34"/>
      <c r="X275" s="29"/>
      <c r="Y275" s="29"/>
      <c r="Z275" s="29"/>
      <c r="AA275" s="29"/>
      <c r="AB275" s="29"/>
      <c r="AC275" s="29"/>
      <c r="AD275" t="str">
        <f t="shared" si="27"/>
        <v/>
      </c>
    </row>
    <row r="276" spans="1:30" x14ac:dyDescent="0.3">
      <c r="A276" s="23">
        <v>275</v>
      </c>
      <c r="B276" s="30"/>
      <c r="C276" s="30"/>
      <c r="D276" s="30"/>
      <c r="E276" s="24"/>
      <c r="F276" s="24"/>
      <c r="G276" s="34"/>
      <c r="H276" s="24"/>
      <c r="I276" s="23" t="str">
        <f t="shared" si="25"/>
        <v/>
      </c>
      <c r="J276" s="23" t="str">
        <f t="shared" si="26"/>
        <v/>
      </c>
      <c r="K276" s="23"/>
      <c r="L276" s="23"/>
      <c r="M276" s="23"/>
      <c r="N276" s="29"/>
      <c r="O276" s="29"/>
      <c r="P276" s="29"/>
      <c r="Q276" s="29"/>
      <c r="R276" s="29"/>
      <c r="S276" s="29"/>
      <c r="T276" s="29"/>
      <c r="U276" s="29"/>
      <c r="V276" s="29"/>
      <c r="W276" s="34"/>
      <c r="X276" s="29"/>
      <c r="Y276" s="29"/>
      <c r="Z276" s="29"/>
      <c r="AA276" s="29"/>
      <c r="AB276" s="29"/>
      <c r="AC276" s="29"/>
      <c r="AD276" t="str">
        <f t="shared" si="27"/>
        <v/>
      </c>
    </row>
    <row r="277" spans="1:30" x14ac:dyDescent="0.3">
      <c r="A277" s="23">
        <v>276</v>
      </c>
      <c r="B277" s="30"/>
      <c r="C277" s="30"/>
      <c r="D277" s="30"/>
      <c r="E277" s="24"/>
      <c r="F277" s="24"/>
      <c r="G277" s="34"/>
      <c r="H277" s="24"/>
      <c r="I277" s="23" t="str">
        <f t="shared" si="25"/>
        <v/>
      </c>
      <c r="J277" s="23" t="str">
        <f t="shared" si="26"/>
        <v/>
      </c>
      <c r="K277" s="23"/>
      <c r="L277" s="23"/>
      <c r="M277" s="23"/>
      <c r="N277" s="29"/>
      <c r="O277" s="29"/>
      <c r="P277" s="29"/>
      <c r="Q277" s="29"/>
      <c r="R277" s="29"/>
      <c r="S277" s="29"/>
      <c r="T277" s="29"/>
      <c r="U277" s="29"/>
      <c r="V277" s="29"/>
      <c r="W277" s="34"/>
      <c r="X277" s="29"/>
      <c r="Y277" s="29"/>
      <c r="Z277" s="29"/>
      <c r="AA277" s="29"/>
      <c r="AB277" s="29"/>
      <c r="AC277" s="29"/>
      <c r="AD277" t="str">
        <f t="shared" si="27"/>
        <v/>
      </c>
    </row>
    <row r="278" spans="1:30" x14ac:dyDescent="0.3">
      <c r="A278" s="23">
        <v>277</v>
      </c>
      <c r="B278" s="30"/>
      <c r="C278" s="30"/>
      <c r="D278" s="30"/>
      <c r="E278" s="24"/>
      <c r="F278" s="24"/>
      <c r="G278" s="34"/>
      <c r="H278" s="24"/>
      <c r="I278" s="23" t="str">
        <f t="shared" si="25"/>
        <v/>
      </c>
      <c r="J278" s="23" t="str">
        <f t="shared" si="26"/>
        <v/>
      </c>
      <c r="K278" s="23"/>
      <c r="L278" s="23"/>
      <c r="M278" s="23"/>
      <c r="N278" s="29"/>
      <c r="O278" s="29"/>
      <c r="P278" s="29"/>
      <c r="Q278" s="29"/>
      <c r="R278" s="29"/>
      <c r="S278" s="29"/>
      <c r="T278" s="29"/>
      <c r="U278" s="29"/>
      <c r="V278" s="29"/>
      <c r="W278" s="34"/>
      <c r="X278" s="29"/>
      <c r="Y278" s="29"/>
      <c r="Z278" s="29"/>
      <c r="AA278" s="29"/>
      <c r="AB278" s="29"/>
      <c r="AC278" s="29"/>
      <c r="AD278" t="str">
        <f t="shared" si="27"/>
        <v/>
      </c>
    </row>
    <row r="279" spans="1:30" x14ac:dyDescent="0.3">
      <c r="A279" s="23">
        <v>278</v>
      </c>
      <c r="B279" s="30"/>
      <c r="C279" s="30"/>
      <c r="D279" s="30"/>
      <c r="E279" s="24"/>
      <c r="F279" s="24"/>
      <c r="G279" s="34"/>
      <c r="H279" s="24"/>
      <c r="I279" s="23" t="str">
        <f t="shared" si="25"/>
        <v/>
      </c>
      <c r="J279" s="23" t="str">
        <f t="shared" si="26"/>
        <v/>
      </c>
      <c r="K279" s="23"/>
      <c r="L279" s="23"/>
      <c r="M279" s="23"/>
      <c r="N279" s="29"/>
      <c r="O279" s="29"/>
      <c r="P279" s="29"/>
      <c r="Q279" s="29"/>
      <c r="R279" s="29"/>
      <c r="S279" s="29"/>
      <c r="T279" s="29"/>
      <c r="U279" s="29"/>
      <c r="V279" s="29"/>
      <c r="W279" s="34"/>
      <c r="X279" s="29"/>
      <c r="Y279" s="29"/>
      <c r="Z279" s="29"/>
      <c r="AA279" s="29"/>
      <c r="AB279" s="29"/>
      <c r="AC279" s="29"/>
      <c r="AD279" t="str">
        <f t="shared" si="27"/>
        <v/>
      </c>
    </row>
    <row r="280" spans="1:30" x14ac:dyDescent="0.3">
      <c r="A280" s="23">
        <v>279</v>
      </c>
      <c r="B280" s="30"/>
      <c r="C280" s="30"/>
      <c r="D280" s="30"/>
      <c r="E280" s="24"/>
      <c r="F280" s="24"/>
      <c r="G280" s="34"/>
      <c r="H280" s="24"/>
      <c r="I280" s="23" t="str">
        <f t="shared" si="25"/>
        <v/>
      </c>
      <c r="J280" s="23" t="str">
        <f t="shared" si="26"/>
        <v/>
      </c>
      <c r="K280" s="23"/>
      <c r="L280" s="23"/>
      <c r="M280" s="23"/>
      <c r="N280" s="29"/>
      <c r="O280" s="29"/>
      <c r="P280" s="29"/>
      <c r="Q280" s="29"/>
      <c r="R280" s="29"/>
      <c r="S280" s="29"/>
      <c r="T280" s="29"/>
      <c r="U280" s="29"/>
      <c r="V280" s="29"/>
      <c r="W280" s="34"/>
      <c r="X280" s="29"/>
      <c r="Y280" s="29"/>
      <c r="Z280" s="29"/>
      <c r="AA280" s="29"/>
      <c r="AB280" s="29"/>
      <c r="AC280" s="29"/>
      <c r="AD280" t="str">
        <f t="shared" si="27"/>
        <v/>
      </c>
    </row>
    <row r="281" spans="1:30" x14ac:dyDescent="0.3">
      <c r="A281" s="23">
        <v>280</v>
      </c>
      <c r="B281" s="30"/>
      <c r="C281" s="30"/>
      <c r="D281" s="30"/>
      <c r="E281" s="24"/>
      <c r="F281" s="24"/>
      <c r="G281" s="34"/>
      <c r="H281" s="24"/>
      <c r="I281" s="23" t="str">
        <f t="shared" si="25"/>
        <v/>
      </c>
      <c r="J281" s="23" t="str">
        <f t="shared" si="26"/>
        <v/>
      </c>
      <c r="K281" s="23"/>
      <c r="L281" s="23"/>
      <c r="M281" s="23"/>
      <c r="N281" s="29"/>
      <c r="O281" s="29"/>
      <c r="P281" s="29"/>
      <c r="Q281" s="29"/>
      <c r="R281" s="29"/>
      <c r="S281" s="29"/>
      <c r="T281" s="29"/>
      <c r="U281" s="29"/>
      <c r="V281" s="29"/>
      <c r="W281" s="34"/>
      <c r="X281" s="29"/>
      <c r="Y281" s="29"/>
      <c r="Z281" s="29"/>
      <c r="AA281" s="29"/>
      <c r="AB281" s="29"/>
      <c r="AC281" s="29"/>
      <c r="AD281" t="str">
        <f t="shared" si="27"/>
        <v/>
      </c>
    </row>
    <row r="282" spans="1:30" x14ac:dyDescent="0.3">
      <c r="A282" s="23">
        <v>281</v>
      </c>
      <c r="B282" s="30"/>
      <c r="C282" s="30"/>
      <c r="D282" s="30"/>
      <c r="E282" s="24"/>
      <c r="F282" s="24"/>
      <c r="G282" s="34"/>
      <c r="H282" s="24"/>
      <c r="I282" s="23" t="str">
        <f t="shared" si="25"/>
        <v/>
      </c>
      <c r="J282" s="23" t="str">
        <f t="shared" si="26"/>
        <v/>
      </c>
      <c r="K282" s="23"/>
      <c r="L282" s="23"/>
      <c r="M282" s="23"/>
      <c r="N282" s="29"/>
      <c r="O282" s="29"/>
      <c r="P282" s="29"/>
      <c r="Q282" s="29"/>
      <c r="R282" s="29"/>
      <c r="S282" s="29"/>
      <c r="T282" s="29"/>
      <c r="U282" s="29"/>
      <c r="V282" s="29"/>
      <c r="W282" s="34"/>
      <c r="X282" s="29"/>
      <c r="Y282" s="29"/>
      <c r="Z282" s="29"/>
      <c r="AA282" s="29"/>
      <c r="AB282" s="29"/>
      <c r="AC282" s="29"/>
      <c r="AD282" t="str">
        <f t="shared" si="27"/>
        <v/>
      </c>
    </row>
    <row r="283" spans="1:30" x14ac:dyDescent="0.3">
      <c r="A283" s="23">
        <v>282</v>
      </c>
      <c r="B283" s="30"/>
      <c r="C283" s="30"/>
      <c r="D283" s="30"/>
      <c r="E283" s="24"/>
      <c r="F283" s="24"/>
      <c r="G283" s="34"/>
      <c r="H283" s="24"/>
      <c r="I283" s="23" t="str">
        <f t="shared" si="25"/>
        <v/>
      </c>
      <c r="J283" s="23" t="str">
        <f t="shared" si="26"/>
        <v/>
      </c>
      <c r="K283" s="23"/>
      <c r="L283" s="23"/>
      <c r="M283" s="23"/>
      <c r="N283" s="29"/>
      <c r="O283" s="29"/>
      <c r="P283" s="29"/>
      <c r="Q283" s="29"/>
      <c r="R283" s="29"/>
      <c r="S283" s="29"/>
      <c r="T283" s="29"/>
      <c r="U283" s="29"/>
      <c r="V283" s="29"/>
      <c r="W283" s="34"/>
      <c r="X283" s="29"/>
      <c r="Y283" s="29"/>
      <c r="Z283" s="29"/>
      <c r="AA283" s="29"/>
      <c r="AB283" s="29"/>
      <c r="AC283" s="29"/>
      <c r="AD283" t="str">
        <f t="shared" si="27"/>
        <v/>
      </c>
    </row>
    <row r="284" spans="1:30" x14ac:dyDescent="0.3">
      <c r="A284" s="23">
        <v>283</v>
      </c>
      <c r="B284" s="30"/>
      <c r="C284" s="30"/>
      <c r="D284" s="30"/>
      <c r="E284" s="24"/>
      <c r="F284" s="24"/>
      <c r="G284" s="34"/>
      <c r="H284" s="24"/>
      <c r="I284" s="23" t="str">
        <f t="shared" si="25"/>
        <v/>
      </c>
      <c r="J284" s="23" t="str">
        <f t="shared" si="26"/>
        <v/>
      </c>
      <c r="K284" s="23"/>
      <c r="L284" s="23"/>
      <c r="M284" s="23"/>
      <c r="N284" s="29"/>
      <c r="O284" s="29"/>
      <c r="P284" s="29"/>
      <c r="Q284" s="29"/>
      <c r="R284" s="29"/>
      <c r="S284" s="29"/>
      <c r="T284" s="29"/>
      <c r="U284" s="29"/>
      <c r="V284" s="29"/>
      <c r="W284" s="34"/>
      <c r="X284" s="29"/>
      <c r="Y284" s="29"/>
      <c r="Z284" s="29"/>
      <c r="AA284" s="29"/>
      <c r="AB284" s="29"/>
      <c r="AC284" s="29"/>
      <c r="AD284" t="str">
        <f t="shared" si="27"/>
        <v/>
      </c>
    </row>
    <row r="285" spans="1:30" x14ac:dyDescent="0.3">
      <c r="A285" s="23">
        <v>284</v>
      </c>
      <c r="B285" s="30"/>
      <c r="C285" s="30"/>
      <c r="D285" s="30"/>
      <c r="E285" s="24"/>
      <c r="F285" s="24"/>
      <c r="G285" s="34"/>
      <c r="H285" s="24"/>
      <c r="I285" s="23" t="str">
        <f t="shared" si="25"/>
        <v/>
      </c>
      <c r="J285" s="23" t="str">
        <f t="shared" si="26"/>
        <v/>
      </c>
      <c r="K285" s="23"/>
      <c r="L285" s="23"/>
      <c r="M285" s="23"/>
      <c r="N285" s="29"/>
      <c r="O285" s="29"/>
      <c r="P285" s="29"/>
      <c r="Q285" s="29"/>
      <c r="R285" s="29"/>
      <c r="S285" s="29"/>
      <c r="T285" s="29"/>
      <c r="U285" s="29"/>
      <c r="V285" s="29"/>
      <c r="W285" s="34"/>
      <c r="X285" s="29"/>
      <c r="Y285" s="29"/>
      <c r="Z285" s="29"/>
      <c r="AA285" s="29"/>
      <c r="AB285" s="29"/>
      <c r="AC285" s="29"/>
      <c r="AD285" t="str">
        <f t="shared" si="27"/>
        <v/>
      </c>
    </row>
    <row r="286" spans="1:30" x14ac:dyDescent="0.3">
      <c r="A286" s="23">
        <v>285</v>
      </c>
      <c r="B286" s="30"/>
      <c r="C286" s="30"/>
      <c r="D286" s="30"/>
      <c r="E286" s="24"/>
      <c r="F286" s="24"/>
      <c r="G286" s="34"/>
      <c r="H286" s="24"/>
      <c r="I286" s="23" t="str">
        <f t="shared" si="25"/>
        <v/>
      </c>
      <c r="J286" s="23" t="str">
        <f t="shared" si="26"/>
        <v/>
      </c>
      <c r="K286" s="23"/>
      <c r="L286" s="23"/>
      <c r="M286" s="23"/>
      <c r="N286" s="29"/>
      <c r="O286" s="29"/>
      <c r="P286" s="29"/>
      <c r="Q286" s="29"/>
      <c r="R286" s="29"/>
      <c r="S286" s="29"/>
      <c r="T286" s="29"/>
      <c r="U286" s="29"/>
      <c r="V286" s="29"/>
      <c r="W286" s="34"/>
      <c r="X286" s="29"/>
      <c r="Y286" s="29"/>
      <c r="Z286" s="29"/>
      <c r="AA286" s="29"/>
      <c r="AB286" s="29"/>
      <c r="AC286" s="29"/>
      <c r="AD286" t="str">
        <f t="shared" si="27"/>
        <v/>
      </c>
    </row>
    <row r="287" spans="1:30" x14ac:dyDescent="0.3">
      <c r="A287" s="23">
        <v>286</v>
      </c>
      <c r="B287" s="30"/>
      <c r="C287" s="30"/>
      <c r="D287" s="30"/>
      <c r="E287" s="24"/>
      <c r="F287" s="24"/>
      <c r="G287" s="34"/>
      <c r="H287" s="24"/>
      <c r="I287" s="23" t="str">
        <f t="shared" si="25"/>
        <v/>
      </c>
      <c r="J287" s="23" t="str">
        <f t="shared" si="26"/>
        <v/>
      </c>
      <c r="K287" s="23"/>
      <c r="L287" s="23"/>
      <c r="M287" s="23"/>
      <c r="N287" s="29"/>
      <c r="O287" s="29"/>
      <c r="P287" s="29"/>
      <c r="Q287" s="29"/>
      <c r="R287" s="29"/>
      <c r="S287" s="29"/>
      <c r="T287" s="29"/>
      <c r="U287" s="29"/>
      <c r="V287" s="29"/>
      <c r="W287" s="34"/>
      <c r="X287" s="29"/>
      <c r="Y287" s="29"/>
      <c r="Z287" s="29"/>
      <c r="AA287" s="29"/>
      <c r="AB287" s="29"/>
      <c r="AC287" s="29"/>
      <c r="AD287" t="str">
        <f t="shared" si="27"/>
        <v/>
      </c>
    </row>
    <row r="288" spans="1:30" x14ac:dyDescent="0.3">
      <c r="A288" s="23">
        <v>287</v>
      </c>
      <c r="B288" s="30"/>
      <c r="C288" s="30"/>
      <c r="D288" s="30"/>
      <c r="E288" s="24"/>
      <c r="F288" s="24"/>
      <c r="G288" s="34"/>
      <c r="H288" s="24"/>
      <c r="I288" s="23" t="str">
        <f t="shared" si="25"/>
        <v/>
      </c>
      <c r="J288" s="23" t="str">
        <f t="shared" si="26"/>
        <v/>
      </c>
      <c r="K288" s="23"/>
      <c r="L288" s="23"/>
      <c r="M288" s="23"/>
      <c r="N288" s="29"/>
      <c r="O288" s="29"/>
      <c r="P288" s="29"/>
      <c r="Q288" s="29"/>
      <c r="R288" s="29"/>
      <c r="S288" s="29"/>
      <c r="T288" s="29"/>
      <c r="U288" s="29"/>
      <c r="V288" s="29"/>
      <c r="W288" s="34"/>
      <c r="X288" s="29"/>
      <c r="Y288" s="29"/>
      <c r="Z288" s="29"/>
      <c r="AA288" s="29"/>
      <c r="AB288" s="29"/>
      <c r="AC288" s="29"/>
      <c r="AD288" t="str">
        <f t="shared" si="27"/>
        <v/>
      </c>
    </row>
    <row r="289" spans="1:30" x14ac:dyDescent="0.3">
      <c r="A289" s="23">
        <v>288</v>
      </c>
      <c r="B289" s="30"/>
      <c r="C289" s="30"/>
      <c r="D289" s="30"/>
      <c r="E289" s="24"/>
      <c r="F289" s="24"/>
      <c r="G289" s="34"/>
      <c r="H289" s="24"/>
      <c r="I289" s="23" t="str">
        <f t="shared" si="25"/>
        <v/>
      </c>
      <c r="J289" s="23" t="str">
        <f t="shared" si="26"/>
        <v/>
      </c>
      <c r="K289" s="23"/>
      <c r="L289" s="23"/>
      <c r="M289" s="23"/>
      <c r="N289" s="29"/>
      <c r="O289" s="29"/>
      <c r="P289" s="29"/>
      <c r="Q289" s="29"/>
      <c r="R289" s="29"/>
      <c r="S289" s="29"/>
      <c r="T289" s="29"/>
      <c r="U289" s="29"/>
      <c r="V289" s="29"/>
      <c r="W289" s="34"/>
      <c r="X289" s="29"/>
      <c r="Y289" s="29"/>
      <c r="Z289" s="29"/>
      <c r="AA289" s="29"/>
      <c r="AB289" s="29"/>
      <c r="AC289" s="29"/>
      <c r="AD289" t="str">
        <f t="shared" si="27"/>
        <v/>
      </c>
    </row>
    <row r="290" spans="1:30" x14ac:dyDescent="0.3">
      <c r="A290" s="23">
        <v>289</v>
      </c>
      <c r="B290" s="30"/>
      <c r="C290" s="30"/>
      <c r="D290" s="30"/>
      <c r="E290" s="24"/>
      <c r="F290" s="24"/>
      <c r="G290" s="34"/>
      <c r="H290" s="24"/>
      <c r="I290" s="23" t="str">
        <f t="shared" si="25"/>
        <v/>
      </c>
      <c r="J290" s="23" t="str">
        <f t="shared" si="26"/>
        <v/>
      </c>
      <c r="K290" s="23"/>
      <c r="L290" s="23"/>
      <c r="M290" s="23"/>
      <c r="N290" s="29"/>
      <c r="O290" s="29"/>
      <c r="P290" s="29"/>
      <c r="Q290" s="29"/>
      <c r="R290" s="29"/>
      <c r="S290" s="29"/>
      <c r="T290" s="29"/>
      <c r="U290" s="29"/>
      <c r="V290" s="29"/>
      <c r="W290" s="34"/>
      <c r="X290" s="29"/>
      <c r="Y290" s="29"/>
      <c r="Z290" s="29"/>
      <c r="AA290" s="29"/>
      <c r="AB290" s="29"/>
      <c r="AC290" s="29"/>
      <c r="AD290" t="str">
        <f t="shared" si="27"/>
        <v/>
      </c>
    </row>
    <row r="291" spans="1:30" x14ac:dyDescent="0.3">
      <c r="A291" s="23">
        <v>290</v>
      </c>
      <c r="B291" s="30"/>
      <c r="C291" s="30"/>
      <c r="D291" s="30"/>
      <c r="E291" s="24"/>
      <c r="F291" s="24"/>
      <c r="G291" s="34"/>
      <c r="H291" s="24"/>
      <c r="I291" s="23" t="str">
        <f t="shared" si="25"/>
        <v/>
      </c>
      <c r="J291" s="23" t="str">
        <f t="shared" si="26"/>
        <v/>
      </c>
      <c r="K291" s="23"/>
      <c r="L291" s="23"/>
      <c r="M291" s="23"/>
      <c r="N291" s="29"/>
      <c r="O291" s="29"/>
      <c r="P291" s="29"/>
      <c r="Q291" s="29"/>
      <c r="R291" s="29"/>
      <c r="S291" s="29"/>
      <c r="T291" s="29"/>
      <c r="U291" s="29"/>
      <c r="V291" s="29"/>
      <c r="W291" s="34"/>
      <c r="X291" s="29"/>
      <c r="Y291" s="29"/>
      <c r="Z291" s="29"/>
      <c r="AA291" s="29"/>
      <c r="AB291" s="29"/>
      <c r="AC291" s="29"/>
      <c r="AD291" t="str">
        <f t="shared" si="27"/>
        <v/>
      </c>
    </row>
    <row r="292" spans="1:30" x14ac:dyDescent="0.3">
      <c r="A292" s="23">
        <v>291</v>
      </c>
      <c r="B292" s="30"/>
      <c r="C292" s="30"/>
      <c r="D292" s="30"/>
      <c r="E292" s="24"/>
      <c r="F292" s="24"/>
      <c r="G292" s="34"/>
      <c r="H292" s="24"/>
      <c r="I292" s="23" t="str">
        <f t="shared" si="25"/>
        <v/>
      </c>
      <c r="J292" s="23" t="str">
        <f t="shared" si="26"/>
        <v/>
      </c>
      <c r="K292" s="23"/>
      <c r="L292" s="23"/>
      <c r="M292" s="23"/>
      <c r="N292" s="29"/>
      <c r="O292" s="29"/>
      <c r="P292" s="29"/>
      <c r="Q292" s="29"/>
      <c r="R292" s="29"/>
      <c r="S292" s="29"/>
      <c r="T292" s="29"/>
      <c r="U292" s="29"/>
      <c r="V292" s="29"/>
      <c r="W292" s="34"/>
      <c r="X292" s="29"/>
      <c r="Y292" s="29"/>
      <c r="Z292" s="29"/>
      <c r="AA292" s="29"/>
      <c r="AB292" s="29"/>
      <c r="AC292" s="29"/>
      <c r="AD292" t="str">
        <f t="shared" si="27"/>
        <v/>
      </c>
    </row>
    <row r="293" spans="1:30" x14ac:dyDescent="0.3">
      <c r="A293" s="23">
        <v>292</v>
      </c>
      <c r="B293" s="30"/>
      <c r="C293" s="30"/>
      <c r="D293" s="30"/>
      <c r="E293" s="24"/>
      <c r="F293" s="24"/>
      <c r="G293" s="34"/>
      <c r="H293" s="24"/>
      <c r="I293" s="23" t="str">
        <f t="shared" si="25"/>
        <v/>
      </c>
      <c r="J293" s="23" t="str">
        <f t="shared" si="26"/>
        <v/>
      </c>
      <c r="K293" s="23"/>
      <c r="L293" s="23"/>
      <c r="M293" s="23"/>
      <c r="N293" s="29"/>
      <c r="O293" s="29"/>
      <c r="P293" s="29"/>
      <c r="Q293" s="29"/>
      <c r="R293" s="29"/>
      <c r="S293" s="29"/>
      <c r="T293" s="29"/>
      <c r="U293" s="29"/>
      <c r="V293" s="29"/>
      <c r="W293" s="34"/>
      <c r="X293" s="29"/>
      <c r="Y293" s="29"/>
      <c r="Z293" s="29"/>
      <c r="AA293" s="29"/>
      <c r="AB293" s="29"/>
      <c r="AC293" s="29"/>
      <c r="AD293" t="str">
        <f t="shared" si="27"/>
        <v/>
      </c>
    </row>
    <row r="294" spans="1:30" x14ac:dyDescent="0.3">
      <c r="A294" s="23">
        <v>293</v>
      </c>
      <c r="B294" s="30"/>
      <c r="C294" s="30"/>
      <c r="D294" s="30"/>
      <c r="E294" s="24"/>
      <c r="F294" s="24"/>
      <c r="G294" s="34"/>
      <c r="H294" s="24"/>
      <c r="I294" s="23" t="str">
        <f t="shared" si="25"/>
        <v/>
      </c>
      <c r="J294" s="23" t="str">
        <f t="shared" si="26"/>
        <v/>
      </c>
      <c r="K294" s="23"/>
      <c r="L294" s="23"/>
      <c r="M294" s="23"/>
      <c r="N294" s="29"/>
      <c r="O294" s="29"/>
      <c r="P294" s="29"/>
      <c r="Q294" s="29"/>
      <c r="R294" s="29"/>
      <c r="S294" s="29"/>
      <c r="T294" s="29"/>
      <c r="U294" s="29"/>
      <c r="V294" s="29"/>
      <c r="W294" s="34"/>
      <c r="X294" s="29"/>
      <c r="Y294" s="29"/>
      <c r="Z294" s="29"/>
      <c r="AA294" s="29"/>
      <c r="AB294" s="29"/>
      <c r="AC294" s="29"/>
      <c r="AD294" t="str">
        <f t="shared" si="27"/>
        <v/>
      </c>
    </row>
    <row r="295" spans="1:30" x14ac:dyDescent="0.3">
      <c r="A295" s="23">
        <v>294</v>
      </c>
      <c r="B295" s="30"/>
      <c r="C295" s="30"/>
      <c r="D295" s="30"/>
      <c r="E295" s="24"/>
      <c r="F295" s="24"/>
      <c r="G295" s="34"/>
      <c r="H295" s="24"/>
      <c r="I295" s="23" t="str">
        <f t="shared" si="25"/>
        <v/>
      </c>
      <c r="J295" s="23" t="str">
        <f t="shared" si="26"/>
        <v/>
      </c>
      <c r="K295" s="23"/>
      <c r="L295" s="23"/>
      <c r="M295" s="23"/>
      <c r="N295" s="29"/>
      <c r="O295" s="29"/>
      <c r="P295" s="29"/>
      <c r="Q295" s="29"/>
      <c r="R295" s="29"/>
      <c r="S295" s="29"/>
      <c r="T295" s="29"/>
      <c r="U295" s="29"/>
      <c r="V295" s="29"/>
      <c r="W295" s="34"/>
      <c r="X295" s="29"/>
      <c r="Y295" s="29"/>
      <c r="Z295" s="29"/>
      <c r="AA295" s="29"/>
      <c r="AB295" s="29"/>
      <c r="AC295" s="29"/>
      <c r="AD295" t="str">
        <f t="shared" si="27"/>
        <v/>
      </c>
    </row>
    <row r="296" spans="1:30" x14ac:dyDescent="0.3">
      <c r="A296" s="23">
        <v>295</v>
      </c>
      <c r="B296" s="30"/>
      <c r="C296" s="30"/>
      <c r="D296" s="30"/>
      <c r="E296" s="24"/>
      <c r="F296" s="24"/>
      <c r="G296" s="34"/>
      <c r="H296" s="24"/>
      <c r="I296" s="23" t="str">
        <f t="shared" si="25"/>
        <v/>
      </c>
      <c r="J296" s="23" t="str">
        <f t="shared" si="26"/>
        <v/>
      </c>
      <c r="K296" s="23"/>
      <c r="L296" s="23"/>
      <c r="M296" s="23"/>
      <c r="N296" s="29"/>
      <c r="O296" s="29"/>
      <c r="P296" s="29"/>
      <c r="Q296" s="29"/>
      <c r="R296" s="29"/>
      <c r="S296" s="29"/>
      <c r="T296" s="29"/>
      <c r="U296" s="29"/>
      <c r="V296" s="29"/>
      <c r="W296" s="34"/>
      <c r="X296" s="29"/>
      <c r="Y296" s="29"/>
      <c r="Z296" s="29"/>
      <c r="AA296" s="29"/>
      <c r="AB296" s="29"/>
      <c r="AC296" s="29"/>
      <c r="AD296" t="str">
        <f t="shared" si="27"/>
        <v/>
      </c>
    </row>
    <row r="297" spans="1:30" x14ac:dyDescent="0.3">
      <c r="A297" s="23">
        <v>296</v>
      </c>
      <c r="B297" s="30"/>
      <c r="C297" s="30"/>
      <c r="D297" s="30"/>
      <c r="E297" s="24"/>
      <c r="F297" s="24"/>
      <c r="G297" s="34"/>
      <c r="H297" s="24"/>
      <c r="I297" s="23" t="str">
        <f t="shared" si="25"/>
        <v/>
      </c>
      <c r="J297" s="23" t="str">
        <f t="shared" si="26"/>
        <v/>
      </c>
      <c r="K297" s="23"/>
      <c r="L297" s="23"/>
      <c r="M297" s="23"/>
      <c r="N297" s="29"/>
      <c r="O297" s="29"/>
      <c r="P297" s="29"/>
      <c r="Q297" s="29"/>
      <c r="R297" s="29"/>
      <c r="S297" s="29"/>
      <c r="T297" s="29"/>
      <c r="U297" s="29"/>
      <c r="V297" s="29"/>
      <c r="W297" s="34"/>
      <c r="X297" s="29"/>
      <c r="Y297" s="29"/>
      <c r="Z297" s="29"/>
      <c r="AA297" s="29"/>
      <c r="AB297" s="29"/>
      <c r="AC297" s="29"/>
      <c r="AD297" t="str">
        <f t="shared" si="27"/>
        <v/>
      </c>
    </row>
    <row r="298" spans="1:30" x14ac:dyDescent="0.3">
      <c r="A298" s="23">
        <v>297</v>
      </c>
      <c r="B298" s="30"/>
      <c r="C298" s="30"/>
      <c r="D298" s="30"/>
      <c r="E298" s="24"/>
      <c r="F298" s="24"/>
      <c r="G298" s="34"/>
      <c r="H298" s="24"/>
      <c r="I298" s="23" t="str">
        <f t="shared" si="25"/>
        <v/>
      </c>
      <c r="J298" s="23" t="str">
        <f t="shared" si="26"/>
        <v/>
      </c>
      <c r="K298" s="23"/>
      <c r="L298" s="23"/>
      <c r="M298" s="23"/>
      <c r="N298" s="29"/>
      <c r="O298" s="29"/>
      <c r="P298" s="29"/>
      <c r="Q298" s="29"/>
      <c r="R298" s="29"/>
      <c r="S298" s="29"/>
      <c r="T298" s="29"/>
      <c r="U298" s="29"/>
      <c r="V298" s="29"/>
      <c r="W298" s="34"/>
      <c r="X298" s="29"/>
      <c r="Y298" s="29"/>
      <c r="Z298" s="29"/>
      <c r="AA298" s="29"/>
      <c r="AB298" s="29"/>
      <c r="AC298" s="29"/>
      <c r="AD298" t="str">
        <f t="shared" si="27"/>
        <v/>
      </c>
    </row>
    <row r="299" spans="1:30" x14ac:dyDescent="0.3">
      <c r="A299" s="23">
        <v>298</v>
      </c>
      <c r="B299" s="30"/>
      <c r="C299" s="30"/>
      <c r="D299" s="30"/>
      <c r="E299" s="24"/>
      <c r="F299" s="24"/>
      <c r="G299" s="34"/>
      <c r="H299" s="24"/>
      <c r="I299" s="23" t="str">
        <f t="shared" si="25"/>
        <v/>
      </c>
      <c r="J299" s="23" t="str">
        <f t="shared" si="26"/>
        <v/>
      </c>
      <c r="K299" s="23"/>
      <c r="L299" s="23"/>
      <c r="M299" s="23"/>
      <c r="N299" s="29"/>
      <c r="O299" s="29"/>
      <c r="P299" s="29"/>
      <c r="Q299" s="29"/>
      <c r="R299" s="29"/>
      <c r="S299" s="29"/>
      <c r="T299" s="29"/>
      <c r="U299" s="29"/>
      <c r="V299" s="29"/>
      <c r="W299" s="34"/>
      <c r="X299" s="29"/>
      <c r="Y299" s="29"/>
      <c r="Z299" s="29"/>
      <c r="AA299" s="29"/>
      <c r="AB299" s="29"/>
      <c r="AC299" s="29"/>
      <c r="AD299" t="str">
        <f t="shared" si="27"/>
        <v/>
      </c>
    </row>
    <row r="300" spans="1:30" x14ac:dyDescent="0.3">
      <c r="A300" s="23">
        <v>299</v>
      </c>
      <c r="B300" s="30"/>
      <c r="C300" s="30"/>
      <c r="D300" s="30"/>
      <c r="E300" s="24"/>
      <c r="F300" s="24"/>
      <c r="G300" s="34"/>
      <c r="H300" s="24"/>
      <c r="I300" s="23" t="str">
        <f t="shared" si="25"/>
        <v/>
      </c>
      <c r="J300" s="23" t="str">
        <f t="shared" si="26"/>
        <v/>
      </c>
      <c r="K300" s="23"/>
      <c r="L300" s="23"/>
      <c r="M300" s="23"/>
      <c r="N300" s="29"/>
      <c r="O300" s="29"/>
      <c r="P300" s="29"/>
      <c r="Q300" s="29"/>
      <c r="R300" s="29"/>
      <c r="S300" s="29"/>
      <c r="T300" s="29"/>
      <c r="U300" s="29"/>
      <c r="V300" s="29"/>
      <c r="W300" s="34"/>
      <c r="X300" s="29"/>
      <c r="Y300" s="29"/>
      <c r="Z300" s="29"/>
      <c r="AA300" s="29"/>
      <c r="AB300" s="29"/>
      <c r="AC300" s="29"/>
      <c r="AD300" t="str">
        <f t="shared" si="27"/>
        <v/>
      </c>
    </row>
    <row r="301" spans="1:30" x14ac:dyDescent="0.3">
      <c r="A301" s="23">
        <v>300</v>
      </c>
      <c r="B301" s="30"/>
      <c r="C301" s="30"/>
      <c r="D301" s="30"/>
      <c r="E301" s="24"/>
      <c r="F301" s="24"/>
      <c r="G301" s="34"/>
      <c r="H301" s="24"/>
      <c r="I301" s="23" t="str">
        <f t="shared" si="25"/>
        <v/>
      </c>
      <c r="J301" s="23" t="str">
        <f t="shared" si="26"/>
        <v/>
      </c>
      <c r="K301" s="23"/>
      <c r="L301" s="23"/>
      <c r="M301" s="23"/>
      <c r="N301" s="29"/>
      <c r="O301" s="29"/>
      <c r="P301" s="29"/>
      <c r="Q301" s="29"/>
      <c r="R301" s="29"/>
      <c r="S301" s="29"/>
      <c r="T301" s="29"/>
      <c r="U301" s="29"/>
      <c r="V301" s="29"/>
      <c r="W301" s="34"/>
      <c r="X301" s="29"/>
      <c r="Y301" s="29"/>
      <c r="Z301" s="29"/>
      <c r="AA301" s="29"/>
      <c r="AB301" s="29"/>
      <c r="AC301" s="29"/>
      <c r="AD301" t="str">
        <f t="shared" si="27"/>
        <v/>
      </c>
    </row>
    <row r="302" spans="1:30" x14ac:dyDescent="0.3">
      <c r="A302" s="35"/>
      <c r="B302" s="35"/>
      <c r="C302" s="35"/>
      <c r="D302" s="35"/>
      <c r="E302" s="35"/>
      <c r="F302" s="35"/>
      <c r="G302" s="35"/>
      <c r="H302" s="35"/>
      <c r="I302" s="35"/>
      <c r="J302" s="35"/>
      <c r="K302" s="35"/>
      <c r="L302" s="35"/>
      <c r="M302" s="35"/>
      <c r="N302" s="35"/>
      <c r="O302" s="35"/>
      <c r="P302" s="29"/>
      <c r="Q302" s="29"/>
      <c r="R302" s="35"/>
      <c r="S302" s="36"/>
      <c r="T302" s="35"/>
      <c r="U302" s="29"/>
      <c r="V302" s="35"/>
      <c r="W302" s="34"/>
      <c r="X302" s="35"/>
      <c r="Y302" s="35"/>
      <c r="Z302" s="35"/>
      <c r="AA302" s="35"/>
      <c r="AB302" s="35"/>
      <c r="AC302" s="35"/>
    </row>
    <row r="303" spans="1:30" x14ac:dyDescent="0.3">
      <c r="A303" s="88" t="s">
        <v>108</v>
      </c>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c r="AA303" s="89"/>
      <c r="AB303" s="89"/>
      <c r="AC303" s="89"/>
    </row>
  </sheetData>
  <sheetProtection algorithmName="SHA-512" hashValue="uVgTUWnzCn8LbAhQMjvMqYES4iLvse14Opx1xK7+Mc9VmbXWpxWxdL1RSfza1GJOi1LNB9qnuF6e60p0yXjh8A==" saltValue="YhCcLxlABpDruB/XpgWnPQ==" spinCount="100000" sheet="1" formatCells="0" formatColumns="0" formatRows="0" insertColumns="0" insertRows="0" insertHyperlinks="0" deleteColumns="0" deleteRows="0"/>
  <mergeCells count="1">
    <mergeCell ref="A303:AC303"/>
  </mergeCells>
  <pageMargins left="0.75" right="0.75" top="1" bottom="1" header="0.5" footer="0.5"/>
  <ignoredErrors>
    <ignoredError sqref="A302:O302 A2:F2 M2 A3:K24 M4 M22 M19 U19 U20:U24 U2 U3:U18 W2:Y2 W19:Y19 W20:Y24 W3:Y18 AB2:AC2 AB19:AC19 AB20:AC24 AB3:AC18 M20 Q20:S20 M3 M9 M5 Q5:S5 M11 M10 Q10:S10 M13 M12 M16:M17 M14 Q14:S14 P25:AC302 Q4:S4 Q21:S24 Q19:S19 Q2:S2 Q3:S3 Q6:S9 Q11:S11 Q13:S13 Q12:S12 Q15:S18 M6:M8 M15 M21 M18 M23:M24 A25:M301 O25:O301 H2:K2" calculatedColumn="1"/>
  </ignoredErrors>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showGridLines="0" workbookViewId="0">
      <pane ySplit="3" topLeftCell="A4" activePane="bottomLeft" state="frozen"/>
      <selection pane="bottomLeft" activeCell="A7" sqref="A7:XFD7"/>
    </sheetView>
  </sheetViews>
  <sheetFormatPr defaultRowHeight="14.4" x14ac:dyDescent="0.3"/>
  <cols>
    <col min="1" max="1" width="26" customWidth="1"/>
    <col min="2" max="2" width="12" customWidth="1"/>
    <col min="3" max="3" width="70" customWidth="1"/>
  </cols>
  <sheetData>
    <row r="1" spans="1:3" ht="18.45" customHeight="1" x14ac:dyDescent="0.35">
      <c r="A1" s="1" t="s">
        <v>0</v>
      </c>
    </row>
    <row r="3" spans="1:3" ht="28.05" customHeight="1" x14ac:dyDescent="0.3">
      <c r="A3" s="2" t="s">
        <v>1</v>
      </c>
      <c r="B3" s="2" t="s">
        <v>2</v>
      </c>
      <c r="C3" s="2" t="s">
        <v>3</v>
      </c>
    </row>
    <row r="4" spans="1:3" x14ac:dyDescent="0.3">
      <c r="A4" s="3" t="s">
        <v>4</v>
      </c>
      <c r="B4" s="4">
        <v>15000</v>
      </c>
      <c r="C4" s="5" t="s">
        <v>5</v>
      </c>
    </row>
    <row r="5" spans="1:3" x14ac:dyDescent="0.3">
      <c r="A5" s="3" t="s">
        <v>6</v>
      </c>
      <c r="B5" s="4">
        <v>15000</v>
      </c>
      <c r="C5" s="5" t="s">
        <v>7</v>
      </c>
    </row>
    <row r="6" spans="1:3" x14ac:dyDescent="0.3">
      <c r="A6" s="3" t="s">
        <v>8</v>
      </c>
      <c r="B6" s="6">
        <v>0.1</v>
      </c>
      <c r="C6" s="5" t="s">
        <v>9</v>
      </c>
    </row>
    <row r="7" spans="1:3" x14ac:dyDescent="0.3">
      <c r="A7" s="3" t="s">
        <v>10</v>
      </c>
      <c r="B7" s="4">
        <v>25000</v>
      </c>
      <c r="C7" s="5" t="s">
        <v>11</v>
      </c>
    </row>
    <row r="8" spans="1:3" x14ac:dyDescent="0.3">
      <c r="A8" s="3" t="s">
        <v>12</v>
      </c>
      <c r="B8" s="4">
        <v>2000</v>
      </c>
      <c r="C8" s="5" t="s">
        <v>13</v>
      </c>
    </row>
    <row r="9" spans="1:3" x14ac:dyDescent="0.3">
      <c r="A9" s="3" t="s">
        <v>14</v>
      </c>
      <c r="B9" s="6">
        <v>0.12</v>
      </c>
      <c r="C9" s="5" t="s">
        <v>15</v>
      </c>
    </row>
    <row r="10" spans="1:3" x14ac:dyDescent="0.3">
      <c r="A10" s="3" t="s">
        <v>16</v>
      </c>
      <c r="B10" s="6">
        <v>0.12</v>
      </c>
      <c r="C10" s="5" t="s">
        <v>17</v>
      </c>
    </row>
    <row r="11" spans="1:3" x14ac:dyDescent="0.3">
      <c r="A11" s="3" t="s">
        <v>18</v>
      </c>
      <c r="B11" s="4">
        <v>21000</v>
      </c>
      <c r="C11" s="5" t="s">
        <v>19</v>
      </c>
    </row>
    <row r="12" spans="1:3" x14ac:dyDescent="0.3">
      <c r="A12" s="3" t="s">
        <v>20</v>
      </c>
      <c r="B12" s="6">
        <v>7.4999999999999997E-3</v>
      </c>
      <c r="C12" s="5" t="s">
        <v>21</v>
      </c>
    </row>
    <row r="13" spans="1:3" x14ac:dyDescent="0.3">
      <c r="A13" s="3" t="s">
        <v>22</v>
      </c>
      <c r="B13" s="6">
        <v>3.2500000000000001E-2</v>
      </c>
      <c r="C13" s="5" t="s">
        <v>23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F35DA-01B4-4100-AAB1-ACB6A3D8F450}">
  <dimension ref="B1:B139"/>
  <sheetViews>
    <sheetView topLeftCell="A122" zoomScale="70" zoomScaleNormal="70" workbookViewId="0">
      <selection activeCell="B137" sqref="B137"/>
    </sheetView>
  </sheetViews>
  <sheetFormatPr defaultColWidth="8.77734375" defaultRowHeight="14.4" x14ac:dyDescent="0.3"/>
  <cols>
    <col min="1" max="1" width="5.88671875" style="7" customWidth="1"/>
    <col min="2" max="2" width="179.21875" style="7" bestFit="1" customWidth="1"/>
    <col min="3" max="3" width="8.77734375" style="7" customWidth="1"/>
    <col min="4" max="16384" width="8.77734375" style="7"/>
  </cols>
  <sheetData>
    <row r="1" spans="2:2" ht="15" customHeight="1" thickBot="1" x14ac:dyDescent="0.35">
      <c r="B1" s="9"/>
    </row>
    <row r="2" spans="2:2" ht="31.05" customHeight="1" x14ac:dyDescent="0.3">
      <c r="B2" s="37" t="s">
        <v>114</v>
      </c>
    </row>
    <row r="3" spans="2:2" ht="15" customHeight="1" thickBot="1" x14ac:dyDescent="0.35">
      <c r="B3" s="38"/>
    </row>
    <row r="4" spans="2:2" ht="15" customHeight="1" thickBot="1" x14ac:dyDescent="0.35">
      <c r="B4" s="39"/>
    </row>
    <row r="5" spans="2:2" ht="23.55" customHeight="1" x14ac:dyDescent="0.3">
      <c r="B5" s="40" t="s">
        <v>115</v>
      </c>
    </row>
    <row r="6" spans="2:2" x14ac:dyDescent="0.3">
      <c r="B6" s="41"/>
    </row>
    <row r="7" spans="2:2" x14ac:dyDescent="0.3">
      <c r="B7" s="41" t="s">
        <v>116</v>
      </c>
    </row>
    <row r="8" spans="2:2" x14ac:dyDescent="0.3">
      <c r="B8" s="42"/>
    </row>
    <row r="9" spans="2:2" x14ac:dyDescent="0.3">
      <c r="B9" s="42" t="s">
        <v>117</v>
      </c>
    </row>
    <row r="10" spans="2:2" x14ac:dyDescent="0.3">
      <c r="B10" s="42"/>
    </row>
    <row r="11" spans="2:2" x14ac:dyDescent="0.3">
      <c r="B11" s="42" t="s">
        <v>118</v>
      </c>
    </row>
    <row r="12" spans="2:2" x14ac:dyDescent="0.3">
      <c r="B12" s="42"/>
    </row>
    <row r="13" spans="2:2" x14ac:dyDescent="0.3">
      <c r="B13" s="42" t="s">
        <v>119</v>
      </c>
    </row>
    <row r="14" spans="2:2" x14ac:dyDescent="0.3">
      <c r="B14" s="42"/>
    </row>
    <row r="15" spans="2:2" x14ac:dyDescent="0.3">
      <c r="B15" s="42" t="s">
        <v>120</v>
      </c>
    </row>
    <row r="16" spans="2:2" x14ac:dyDescent="0.3">
      <c r="B16" s="42"/>
    </row>
    <row r="17" spans="2:2" x14ac:dyDescent="0.3">
      <c r="B17" s="42" t="s">
        <v>121</v>
      </c>
    </row>
    <row r="18" spans="2:2" x14ac:dyDescent="0.3">
      <c r="B18" s="42"/>
    </row>
    <row r="19" spans="2:2" x14ac:dyDescent="0.3">
      <c r="B19" s="42" t="s">
        <v>122</v>
      </c>
    </row>
    <row r="20" spans="2:2" x14ac:dyDescent="0.3">
      <c r="B20" s="42"/>
    </row>
    <row r="21" spans="2:2" x14ac:dyDescent="0.3">
      <c r="B21" s="42" t="s">
        <v>123</v>
      </c>
    </row>
    <row r="22" spans="2:2" x14ac:dyDescent="0.3">
      <c r="B22" s="42"/>
    </row>
    <row r="23" spans="2:2" x14ac:dyDescent="0.3">
      <c r="B23" s="42"/>
    </row>
    <row r="24" spans="2:2" x14ac:dyDescent="0.3">
      <c r="B24" s="43"/>
    </row>
    <row r="25" spans="2:2" x14ac:dyDescent="0.3">
      <c r="B25" s="44" t="s">
        <v>124</v>
      </c>
    </row>
    <row r="26" spans="2:2" x14ac:dyDescent="0.3">
      <c r="B26" s="43"/>
    </row>
    <row r="27" spans="2:2" x14ac:dyDescent="0.3">
      <c r="B27" s="44" t="s">
        <v>125</v>
      </c>
    </row>
    <row r="28" spans="2:2" ht="15" customHeight="1" thickBot="1" x14ac:dyDescent="0.35">
      <c r="B28" s="41"/>
    </row>
    <row r="29" spans="2:2" ht="15" customHeight="1" thickBot="1" x14ac:dyDescent="0.35">
      <c r="B29" s="45"/>
    </row>
    <row r="30" spans="2:2" x14ac:dyDescent="0.3">
      <c r="B30" s="41"/>
    </row>
    <row r="31" spans="2:2" ht="23.55" customHeight="1" x14ac:dyDescent="0.3">
      <c r="B31" s="40" t="s">
        <v>126</v>
      </c>
    </row>
    <row r="32" spans="2:2" x14ac:dyDescent="0.3">
      <c r="B32" s="41"/>
    </row>
    <row r="33" spans="2:2" ht="17.55" customHeight="1" x14ac:dyDescent="0.3">
      <c r="B33" s="46" t="s">
        <v>127</v>
      </c>
    </row>
    <row r="34" spans="2:2" x14ac:dyDescent="0.3">
      <c r="B34" s="42"/>
    </row>
    <row r="35" spans="2:2" x14ac:dyDescent="0.3">
      <c r="B35" s="42" t="s">
        <v>128</v>
      </c>
    </row>
    <row r="36" spans="2:2" x14ac:dyDescent="0.3">
      <c r="B36" s="42"/>
    </row>
    <row r="37" spans="2:2" x14ac:dyDescent="0.3">
      <c r="B37" s="42" t="s">
        <v>129</v>
      </c>
    </row>
    <row r="38" spans="2:2" x14ac:dyDescent="0.3">
      <c r="B38" s="41"/>
    </row>
    <row r="39" spans="2:2" ht="17.55" customHeight="1" x14ac:dyDescent="0.3">
      <c r="B39" s="46" t="s">
        <v>130</v>
      </c>
    </row>
    <row r="40" spans="2:2" x14ac:dyDescent="0.3">
      <c r="B40" s="42"/>
    </row>
    <row r="41" spans="2:2" x14ac:dyDescent="0.3">
      <c r="B41" s="42" t="s">
        <v>131</v>
      </c>
    </row>
    <row r="42" spans="2:2" x14ac:dyDescent="0.3">
      <c r="B42" s="42"/>
    </row>
    <row r="43" spans="2:2" x14ac:dyDescent="0.3">
      <c r="B43" s="42" t="s">
        <v>132</v>
      </c>
    </row>
    <row r="44" spans="2:2" x14ac:dyDescent="0.3">
      <c r="B44" s="41"/>
    </row>
    <row r="45" spans="2:2" ht="17.55" customHeight="1" x14ac:dyDescent="0.3">
      <c r="B45" s="46" t="s">
        <v>133</v>
      </c>
    </row>
    <row r="46" spans="2:2" x14ac:dyDescent="0.3">
      <c r="B46" s="41"/>
    </row>
    <row r="47" spans="2:2" x14ac:dyDescent="0.3">
      <c r="B47" s="41" t="s">
        <v>134</v>
      </c>
    </row>
    <row r="48" spans="2:2" x14ac:dyDescent="0.3">
      <c r="B48" s="42"/>
    </row>
    <row r="49" spans="2:2" x14ac:dyDescent="0.3">
      <c r="B49" s="42" t="s">
        <v>135</v>
      </c>
    </row>
    <row r="50" spans="2:2" x14ac:dyDescent="0.3">
      <c r="B50" s="42"/>
    </row>
    <row r="51" spans="2:2" x14ac:dyDescent="0.3">
      <c r="B51" s="42" t="s">
        <v>136</v>
      </c>
    </row>
    <row r="52" spans="2:2" x14ac:dyDescent="0.3">
      <c r="B52" s="42"/>
    </row>
    <row r="53" spans="2:2" x14ac:dyDescent="0.3">
      <c r="B53" s="42" t="s">
        <v>137</v>
      </c>
    </row>
    <row r="54" spans="2:2" x14ac:dyDescent="0.3">
      <c r="B54" s="41"/>
    </row>
    <row r="55" spans="2:2" x14ac:dyDescent="0.3">
      <c r="B55" s="41" t="s">
        <v>138</v>
      </c>
    </row>
    <row r="56" spans="2:2" x14ac:dyDescent="0.3">
      <c r="B56" s="41"/>
    </row>
    <row r="57" spans="2:2" ht="18.45" customHeight="1" x14ac:dyDescent="0.35">
      <c r="B57" s="47" t="s">
        <v>139</v>
      </c>
    </row>
    <row r="58" spans="2:2" x14ac:dyDescent="0.3">
      <c r="B58" s="42"/>
    </row>
    <row r="59" spans="2:2" x14ac:dyDescent="0.3">
      <c r="B59" s="42" t="s">
        <v>140</v>
      </c>
    </row>
    <row r="60" spans="2:2" x14ac:dyDescent="0.3">
      <c r="B60" s="42"/>
    </row>
    <row r="61" spans="2:2" x14ac:dyDescent="0.3">
      <c r="B61" s="42" t="s">
        <v>141</v>
      </c>
    </row>
    <row r="62" spans="2:2" ht="15" customHeight="1" thickBot="1" x14ac:dyDescent="0.35">
      <c r="B62" s="41"/>
    </row>
    <row r="63" spans="2:2" ht="15" customHeight="1" thickBot="1" x14ac:dyDescent="0.35">
      <c r="B63" s="45"/>
    </row>
    <row r="64" spans="2:2" x14ac:dyDescent="0.3">
      <c r="B64" s="41"/>
    </row>
    <row r="65" spans="2:2" ht="23.55" customHeight="1" x14ac:dyDescent="0.3">
      <c r="B65" s="40" t="s">
        <v>142</v>
      </c>
    </row>
    <row r="66" spans="2:2" x14ac:dyDescent="0.3">
      <c r="B66" s="42"/>
    </row>
    <row r="67" spans="2:2" x14ac:dyDescent="0.3">
      <c r="B67" s="42" t="s">
        <v>143</v>
      </c>
    </row>
    <row r="68" spans="2:2" x14ac:dyDescent="0.3">
      <c r="B68" s="42"/>
    </row>
    <row r="69" spans="2:2" x14ac:dyDescent="0.3">
      <c r="B69" s="42" t="s">
        <v>144</v>
      </c>
    </row>
    <row r="70" spans="2:2" x14ac:dyDescent="0.3">
      <c r="B70" s="42"/>
    </row>
    <row r="71" spans="2:2" x14ac:dyDescent="0.3">
      <c r="B71" s="42" t="s">
        <v>145</v>
      </c>
    </row>
    <row r="72" spans="2:2" x14ac:dyDescent="0.3">
      <c r="B72" s="41"/>
    </row>
    <row r="73" spans="2:2" ht="18.45" customHeight="1" x14ac:dyDescent="0.35">
      <c r="B73" s="47" t="s">
        <v>139</v>
      </c>
    </row>
    <row r="74" spans="2:2" x14ac:dyDescent="0.3">
      <c r="B74" s="42"/>
    </row>
    <row r="75" spans="2:2" x14ac:dyDescent="0.3">
      <c r="B75" s="42" t="s">
        <v>146</v>
      </c>
    </row>
    <row r="76" spans="2:2" x14ac:dyDescent="0.3">
      <c r="B76" s="42"/>
    </row>
    <row r="77" spans="2:2" x14ac:dyDescent="0.3">
      <c r="B77" s="42" t="s">
        <v>147</v>
      </c>
    </row>
    <row r="78" spans="2:2" ht="15" customHeight="1" thickBot="1" x14ac:dyDescent="0.35">
      <c r="B78" s="41"/>
    </row>
    <row r="79" spans="2:2" ht="15" customHeight="1" thickBot="1" x14ac:dyDescent="0.35">
      <c r="B79" s="45"/>
    </row>
    <row r="80" spans="2:2" x14ac:dyDescent="0.3">
      <c r="B80" s="41"/>
    </row>
    <row r="81" spans="2:2" ht="23.55" customHeight="1" x14ac:dyDescent="0.3">
      <c r="B81" s="40" t="s">
        <v>239</v>
      </c>
    </row>
    <row r="82" spans="2:2" x14ac:dyDescent="0.3">
      <c r="B82" s="42"/>
    </row>
    <row r="83" spans="2:2" x14ac:dyDescent="0.3">
      <c r="B83" s="42" t="s">
        <v>148</v>
      </c>
    </row>
    <row r="84" spans="2:2" x14ac:dyDescent="0.3">
      <c r="B84" s="42"/>
    </row>
    <row r="85" spans="2:2" x14ac:dyDescent="0.3">
      <c r="B85" s="42" t="s">
        <v>149</v>
      </c>
    </row>
    <row r="86" spans="2:2" x14ac:dyDescent="0.3">
      <c r="B86" s="41"/>
    </row>
    <row r="87" spans="2:2" ht="18.45" customHeight="1" x14ac:dyDescent="0.35">
      <c r="B87" s="47" t="s">
        <v>139</v>
      </c>
    </row>
    <row r="88" spans="2:2" x14ac:dyDescent="0.3">
      <c r="B88" s="42"/>
    </row>
    <row r="89" spans="2:2" x14ac:dyDescent="0.3">
      <c r="B89" s="42" t="s">
        <v>150</v>
      </c>
    </row>
    <row r="90" spans="2:2" x14ac:dyDescent="0.3">
      <c r="B90" s="42"/>
    </row>
    <row r="91" spans="2:2" x14ac:dyDescent="0.3">
      <c r="B91" s="42" t="s">
        <v>151</v>
      </c>
    </row>
    <row r="92" spans="2:2" ht="15" customHeight="1" thickBot="1" x14ac:dyDescent="0.35">
      <c r="B92" s="41"/>
    </row>
    <row r="93" spans="2:2" ht="15" customHeight="1" thickBot="1" x14ac:dyDescent="0.35">
      <c r="B93" s="45"/>
    </row>
    <row r="94" spans="2:2" x14ac:dyDescent="0.3">
      <c r="B94" s="41"/>
    </row>
    <row r="95" spans="2:2" ht="23.55" customHeight="1" x14ac:dyDescent="0.3">
      <c r="B95" s="40" t="s">
        <v>240</v>
      </c>
    </row>
    <row r="96" spans="2:2" x14ac:dyDescent="0.3">
      <c r="B96" s="41"/>
    </row>
    <row r="97" spans="2:2" x14ac:dyDescent="0.3">
      <c r="B97" s="41" t="s">
        <v>152</v>
      </c>
    </row>
    <row r="98" spans="2:2" x14ac:dyDescent="0.3">
      <c r="B98" s="41"/>
    </row>
    <row r="99" spans="2:2" x14ac:dyDescent="0.3">
      <c r="B99" s="41" t="s">
        <v>238</v>
      </c>
    </row>
    <row r="100" spans="2:2" x14ac:dyDescent="0.3">
      <c r="B100" s="41"/>
    </row>
    <row r="101" spans="2:2" x14ac:dyDescent="0.3">
      <c r="B101" s="41" t="s">
        <v>153</v>
      </c>
    </row>
    <row r="102" spans="2:2" ht="15" customHeight="1" thickBot="1" x14ac:dyDescent="0.35">
      <c r="B102" s="41"/>
    </row>
    <row r="103" spans="2:2" ht="15" customHeight="1" thickBot="1" x14ac:dyDescent="0.35">
      <c r="B103" s="45"/>
    </row>
    <row r="104" spans="2:2" x14ac:dyDescent="0.3">
      <c r="B104" s="41"/>
    </row>
    <row r="105" spans="2:2" ht="23.55" customHeight="1" x14ac:dyDescent="0.3">
      <c r="B105" s="40" t="s">
        <v>241</v>
      </c>
    </row>
    <row r="106" spans="2:2" x14ac:dyDescent="0.3">
      <c r="B106" s="42"/>
    </row>
    <row r="107" spans="2:2" x14ac:dyDescent="0.3">
      <c r="B107" s="42" t="s">
        <v>154</v>
      </c>
    </row>
    <row r="108" spans="2:2" x14ac:dyDescent="0.3">
      <c r="B108" s="42"/>
    </row>
    <row r="109" spans="2:2" x14ac:dyDescent="0.3">
      <c r="B109" s="42" t="s">
        <v>236</v>
      </c>
    </row>
    <row r="110" spans="2:2" x14ac:dyDescent="0.3">
      <c r="B110" s="42"/>
    </row>
    <row r="111" spans="2:2" x14ac:dyDescent="0.3">
      <c r="B111" s="42" t="s">
        <v>237</v>
      </c>
    </row>
    <row r="112" spans="2:2" x14ac:dyDescent="0.3">
      <c r="B112" s="41"/>
    </row>
    <row r="113" spans="2:2" ht="18.45" customHeight="1" x14ac:dyDescent="0.35">
      <c r="B113" s="47" t="s">
        <v>139</v>
      </c>
    </row>
    <row r="114" spans="2:2" x14ac:dyDescent="0.3">
      <c r="B114" s="42"/>
    </row>
    <row r="115" spans="2:2" x14ac:dyDescent="0.3">
      <c r="B115" s="42" t="s">
        <v>155</v>
      </c>
    </row>
    <row r="116" spans="2:2" x14ac:dyDescent="0.3">
      <c r="B116" s="42"/>
    </row>
    <row r="117" spans="2:2" x14ac:dyDescent="0.3">
      <c r="B117" s="42" t="s">
        <v>156</v>
      </c>
    </row>
    <row r="118" spans="2:2" ht="43.5" customHeight="1" thickBot="1" x14ac:dyDescent="0.35">
      <c r="B118" s="87" t="s">
        <v>244</v>
      </c>
    </row>
    <row r="119" spans="2:2" ht="15" customHeight="1" thickBot="1" x14ac:dyDescent="0.35">
      <c r="B119" s="45"/>
    </row>
    <row r="120" spans="2:2" x14ac:dyDescent="0.3">
      <c r="B120" s="41"/>
    </row>
    <row r="121" spans="2:2" ht="23.55" customHeight="1" x14ac:dyDescent="0.3">
      <c r="B121" s="40" t="s">
        <v>242</v>
      </c>
    </row>
    <row r="122" spans="2:2" x14ac:dyDescent="0.3">
      <c r="B122" s="42"/>
    </row>
    <row r="123" spans="2:2" x14ac:dyDescent="0.3">
      <c r="B123" s="42" t="s">
        <v>157</v>
      </c>
    </row>
    <row r="124" spans="2:2" x14ac:dyDescent="0.3">
      <c r="B124" s="42"/>
    </row>
    <row r="125" spans="2:2" x14ac:dyDescent="0.3">
      <c r="B125" s="42" t="s">
        <v>158</v>
      </c>
    </row>
    <row r="126" spans="2:2" x14ac:dyDescent="0.3">
      <c r="B126" s="42"/>
    </row>
    <row r="127" spans="2:2" x14ac:dyDescent="0.3">
      <c r="B127" s="42" t="s">
        <v>159</v>
      </c>
    </row>
    <row r="128" spans="2:2" x14ac:dyDescent="0.3">
      <c r="B128" s="41"/>
    </row>
    <row r="129" spans="2:2" ht="18.45" customHeight="1" x14ac:dyDescent="0.35">
      <c r="B129" s="47" t="s">
        <v>139</v>
      </c>
    </row>
    <row r="130" spans="2:2" x14ac:dyDescent="0.3">
      <c r="B130" s="42"/>
    </row>
    <row r="131" spans="2:2" x14ac:dyDescent="0.3">
      <c r="B131" s="42" t="s">
        <v>160</v>
      </c>
    </row>
    <row r="132" spans="2:2" x14ac:dyDescent="0.3">
      <c r="B132" s="42"/>
    </row>
    <row r="133" spans="2:2" x14ac:dyDescent="0.3">
      <c r="B133" s="42" t="s">
        <v>161</v>
      </c>
    </row>
    <row r="134" spans="2:2" ht="43.8" thickBot="1" x14ac:dyDescent="0.35">
      <c r="B134" s="87" t="s">
        <v>245</v>
      </c>
    </row>
    <row r="135" spans="2:2" ht="15" customHeight="1" thickBot="1" x14ac:dyDescent="0.35">
      <c r="B135" s="45"/>
    </row>
    <row r="136" spans="2:2" ht="23.55" customHeight="1" x14ac:dyDescent="0.3">
      <c r="B136" s="40" t="s">
        <v>243</v>
      </c>
    </row>
    <row r="137" spans="2:2" x14ac:dyDescent="0.3">
      <c r="B137" s="41"/>
    </row>
    <row r="138" spans="2:2" x14ac:dyDescent="0.3">
      <c r="B138" s="41" t="s">
        <v>162</v>
      </c>
    </row>
    <row r="139" spans="2:2" ht="15" customHeight="1" thickBot="1" x14ac:dyDescent="0.35">
      <c r="B139" s="4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F3BC0-2C99-48DA-827D-FC541ECC6F9D}">
  <dimension ref="B1:E178"/>
  <sheetViews>
    <sheetView topLeftCell="B17" workbookViewId="0">
      <selection activeCell="A104" sqref="A104:XFD104"/>
    </sheetView>
  </sheetViews>
  <sheetFormatPr defaultColWidth="8.77734375" defaultRowHeight="14.4" x14ac:dyDescent="0.3"/>
  <cols>
    <col min="1" max="1" width="8.77734375" style="49" customWidth="1"/>
    <col min="2" max="2" width="39.109375" style="49" customWidth="1"/>
    <col min="3" max="3" width="29.77734375" style="49" customWidth="1"/>
    <col min="4" max="4" width="21.33203125" style="49" customWidth="1"/>
    <col min="5" max="5" width="8.77734375" style="49" customWidth="1"/>
    <col min="6" max="16384" width="8.77734375" style="49"/>
  </cols>
  <sheetData>
    <row r="1" spans="2:4" ht="15" customHeight="1" thickBot="1" x14ac:dyDescent="0.35"/>
    <row r="2" spans="2:4" ht="31.05" customHeight="1" x14ac:dyDescent="0.3">
      <c r="B2" s="93" t="s">
        <v>163</v>
      </c>
      <c r="C2" s="94"/>
      <c r="D2" s="95"/>
    </row>
    <row r="3" spans="2:4" x14ac:dyDescent="0.3">
      <c r="B3" s="50"/>
      <c r="C3" s="51"/>
      <c r="D3" s="52"/>
    </row>
    <row r="4" spans="2:4" x14ac:dyDescent="0.3">
      <c r="B4" s="96" t="s">
        <v>164</v>
      </c>
      <c r="C4" s="91"/>
      <c r="D4" s="92"/>
    </row>
    <row r="5" spans="2:4" x14ac:dyDescent="0.3">
      <c r="B5" s="50"/>
      <c r="C5" s="51"/>
      <c r="D5" s="52"/>
    </row>
    <row r="6" spans="2:4" x14ac:dyDescent="0.3">
      <c r="B6" s="50"/>
      <c r="C6" s="51"/>
      <c r="D6" s="52"/>
    </row>
    <row r="7" spans="2:4" ht="23.55" customHeight="1" x14ac:dyDescent="0.3">
      <c r="B7" s="90" t="s">
        <v>165</v>
      </c>
      <c r="C7" s="91"/>
      <c r="D7" s="92"/>
    </row>
    <row r="8" spans="2:4" x14ac:dyDescent="0.3">
      <c r="B8" s="50"/>
      <c r="C8" s="51"/>
      <c r="D8" s="52"/>
    </row>
    <row r="9" spans="2:4" x14ac:dyDescent="0.3">
      <c r="B9" s="53" t="s">
        <v>28</v>
      </c>
      <c r="C9" s="15" t="s">
        <v>27</v>
      </c>
      <c r="D9" s="52"/>
    </row>
    <row r="10" spans="2:4" x14ac:dyDescent="0.3">
      <c r="B10" s="54" t="s">
        <v>63</v>
      </c>
      <c r="C10" s="55" t="s">
        <v>166</v>
      </c>
      <c r="D10" s="52"/>
    </row>
    <row r="11" spans="2:4" x14ac:dyDescent="0.3">
      <c r="B11" s="54" t="s">
        <v>77</v>
      </c>
      <c r="C11" s="55" t="s">
        <v>167</v>
      </c>
      <c r="D11" s="52"/>
    </row>
    <row r="12" spans="2:4" x14ac:dyDescent="0.3">
      <c r="B12" s="54" t="s">
        <v>65</v>
      </c>
      <c r="C12" s="55" t="s">
        <v>168</v>
      </c>
      <c r="D12" s="52"/>
    </row>
    <row r="13" spans="2:4" x14ac:dyDescent="0.3">
      <c r="B13" s="54" t="s">
        <v>55</v>
      </c>
      <c r="C13" s="55" t="s">
        <v>169</v>
      </c>
      <c r="D13" s="52"/>
    </row>
    <row r="14" spans="2:4" x14ac:dyDescent="0.3">
      <c r="B14" s="54" t="s">
        <v>59</v>
      </c>
      <c r="C14" s="55" t="s">
        <v>170</v>
      </c>
      <c r="D14" s="52"/>
    </row>
    <row r="15" spans="2:4" x14ac:dyDescent="0.3">
      <c r="B15" s="54" t="s">
        <v>89</v>
      </c>
      <c r="C15" s="55" t="s">
        <v>171</v>
      </c>
      <c r="D15" s="52"/>
    </row>
    <row r="16" spans="2:4" x14ac:dyDescent="0.3">
      <c r="B16" s="50"/>
      <c r="C16" s="51"/>
      <c r="D16" s="52"/>
    </row>
    <row r="17" spans="2:4" ht="23.55" customHeight="1" x14ac:dyDescent="0.3">
      <c r="B17" s="90" t="s">
        <v>172</v>
      </c>
      <c r="C17" s="91"/>
      <c r="D17" s="92"/>
    </row>
    <row r="18" spans="2:4" x14ac:dyDescent="0.3">
      <c r="B18" s="50"/>
      <c r="C18" s="51"/>
      <c r="D18" s="52"/>
    </row>
    <row r="19" spans="2:4" x14ac:dyDescent="0.3">
      <c r="B19" s="56" t="s">
        <v>173</v>
      </c>
      <c r="C19" s="51"/>
      <c r="D19" s="52"/>
    </row>
    <row r="20" spans="2:4" ht="28.95" customHeight="1" x14ac:dyDescent="0.3">
      <c r="B20" s="50" t="s">
        <v>174</v>
      </c>
      <c r="C20" s="51"/>
      <c r="D20" s="52"/>
    </row>
    <row r="21" spans="2:4" x14ac:dyDescent="0.3">
      <c r="B21" s="50"/>
      <c r="C21" s="51"/>
      <c r="D21" s="52"/>
    </row>
    <row r="22" spans="2:4" x14ac:dyDescent="0.3">
      <c r="B22" s="56" t="s">
        <v>175</v>
      </c>
      <c r="C22" s="51"/>
      <c r="D22" s="52"/>
    </row>
    <row r="23" spans="2:4" x14ac:dyDescent="0.3">
      <c r="B23" s="56" t="s">
        <v>176</v>
      </c>
      <c r="C23" s="51"/>
      <c r="D23" s="52"/>
    </row>
    <row r="24" spans="2:4" x14ac:dyDescent="0.3">
      <c r="B24" s="56" t="s">
        <v>177</v>
      </c>
      <c r="C24" s="51"/>
      <c r="D24" s="52"/>
    </row>
    <row r="25" spans="2:4" x14ac:dyDescent="0.3">
      <c r="B25" s="56" t="s">
        <v>178</v>
      </c>
      <c r="C25" s="51"/>
      <c r="D25" s="52"/>
    </row>
    <row r="26" spans="2:4" x14ac:dyDescent="0.3">
      <c r="B26" s="50"/>
      <c r="C26" s="51"/>
      <c r="D26" s="52"/>
    </row>
    <row r="27" spans="2:4" ht="17.55" customHeight="1" x14ac:dyDescent="0.3">
      <c r="B27" s="57" t="s">
        <v>179</v>
      </c>
      <c r="C27" s="51"/>
      <c r="D27" s="52"/>
    </row>
    <row r="28" spans="2:4" x14ac:dyDescent="0.3">
      <c r="B28" s="58"/>
      <c r="C28" s="51"/>
      <c r="D28" s="52"/>
    </row>
    <row r="29" spans="2:4" x14ac:dyDescent="0.3">
      <c r="B29" s="59" t="s">
        <v>180</v>
      </c>
      <c r="C29" s="51"/>
      <c r="D29" s="52"/>
    </row>
    <row r="30" spans="2:4" x14ac:dyDescent="0.3">
      <c r="B30" s="58"/>
      <c r="C30" s="51"/>
      <c r="D30" s="52"/>
    </row>
    <row r="31" spans="2:4" x14ac:dyDescent="0.3">
      <c r="B31" s="59" t="s">
        <v>181</v>
      </c>
      <c r="C31" s="51"/>
      <c r="D31" s="52"/>
    </row>
    <row r="32" spans="2:4" x14ac:dyDescent="0.3">
      <c r="B32" s="58"/>
      <c r="C32" s="51"/>
      <c r="D32" s="52"/>
    </row>
    <row r="33" spans="2:4" x14ac:dyDescent="0.3">
      <c r="B33" s="59" t="s">
        <v>182</v>
      </c>
      <c r="C33" s="51"/>
      <c r="D33" s="52"/>
    </row>
    <row r="34" spans="2:4" x14ac:dyDescent="0.3">
      <c r="B34" s="50"/>
      <c r="C34" s="51"/>
      <c r="D34" s="52"/>
    </row>
    <row r="35" spans="2:4" x14ac:dyDescent="0.3">
      <c r="B35" s="50" t="s">
        <v>183</v>
      </c>
      <c r="C35" s="51"/>
      <c r="D35" s="52"/>
    </row>
    <row r="36" spans="2:4" x14ac:dyDescent="0.3">
      <c r="B36" s="50"/>
      <c r="C36" s="51"/>
      <c r="D36" s="52"/>
    </row>
    <row r="37" spans="2:4" x14ac:dyDescent="0.3">
      <c r="B37" s="50" t="s">
        <v>184</v>
      </c>
      <c r="C37" s="51"/>
      <c r="D37" s="52"/>
    </row>
    <row r="38" spans="2:4" ht="28.95" customHeight="1" x14ac:dyDescent="0.3">
      <c r="B38" s="50" t="s">
        <v>185</v>
      </c>
      <c r="C38" s="51"/>
      <c r="D38" s="52"/>
    </row>
    <row r="39" spans="2:4" x14ac:dyDescent="0.3">
      <c r="B39" s="50"/>
      <c r="C39" s="51"/>
      <c r="D39" s="52"/>
    </row>
    <row r="40" spans="2:4" ht="23.55" customHeight="1" x14ac:dyDescent="0.3">
      <c r="B40" s="90" t="s">
        <v>186</v>
      </c>
      <c r="C40" s="91"/>
      <c r="D40" s="92"/>
    </row>
    <row r="41" spans="2:4" x14ac:dyDescent="0.3">
      <c r="B41" s="50"/>
      <c r="C41" s="51"/>
      <c r="D41" s="52"/>
    </row>
    <row r="42" spans="2:4" x14ac:dyDescent="0.3">
      <c r="B42" s="56" t="s">
        <v>173</v>
      </c>
      <c r="C42" s="51"/>
      <c r="D42" s="52"/>
    </row>
    <row r="43" spans="2:4" x14ac:dyDescent="0.3">
      <c r="B43" s="50" t="s">
        <v>187</v>
      </c>
      <c r="C43" s="51"/>
      <c r="D43" s="52"/>
    </row>
    <row r="44" spans="2:4" x14ac:dyDescent="0.3">
      <c r="B44" s="50"/>
      <c r="C44" s="51"/>
      <c r="D44" s="52"/>
    </row>
    <row r="45" spans="2:4" x14ac:dyDescent="0.3">
      <c r="B45" s="56" t="s">
        <v>188</v>
      </c>
      <c r="C45" s="51"/>
      <c r="D45" s="52"/>
    </row>
    <row r="46" spans="2:4" x14ac:dyDescent="0.3">
      <c r="B46" s="56" t="s">
        <v>189</v>
      </c>
      <c r="C46" s="51"/>
      <c r="D46" s="52"/>
    </row>
    <row r="47" spans="2:4" x14ac:dyDescent="0.3">
      <c r="B47" s="56" t="s">
        <v>177</v>
      </c>
      <c r="C47" s="51"/>
      <c r="D47" s="52"/>
    </row>
    <row r="48" spans="2:4" x14ac:dyDescent="0.3">
      <c r="B48" s="56" t="s">
        <v>190</v>
      </c>
      <c r="C48" s="51"/>
      <c r="D48" s="52"/>
    </row>
    <row r="49" spans="2:4" x14ac:dyDescent="0.3">
      <c r="B49" s="50"/>
      <c r="C49" s="51"/>
      <c r="D49" s="52"/>
    </row>
    <row r="50" spans="2:4" ht="17.55" customHeight="1" x14ac:dyDescent="0.3">
      <c r="B50" s="57" t="s">
        <v>179</v>
      </c>
      <c r="C50" s="51"/>
      <c r="D50" s="52"/>
    </row>
    <row r="51" spans="2:4" x14ac:dyDescent="0.3">
      <c r="B51" s="58"/>
      <c r="C51" s="51"/>
      <c r="D51" s="52"/>
    </row>
    <row r="52" spans="2:4" x14ac:dyDescent="0.3">
      <c r="B52" s="59" t="s">
        <v>191</v>
      </c>
      <c r="C52" s="51"/>
      <c r="D52" s="52"/>
    </row>
    <row r="53" spans="2:4" x14ac:dyDescent="0.3">
      <c r="B53" s="58"/>
      <c r="C53" s="51"/>
      <c r="D53" s="52"/>
    </row>
    <row r="54" spans="2:4" x14ac:dyDescent="0.3">
      <c r="B54" s="59" t="s">
        <v>181</v>
      </c>
      <c r="C54" s="51"/>
      <c r="D54" s="52"/>
    </row>
    <row r="55" spans="2:4" x14ac:dyDescent="0.3">
      <c r="B55" s="58"/>
      <c r="C55" s="51"/>
      <c r="D55" s="52"/>
    </row>
    <row r="56" spans="2:4" x14ac:dyDescent="0.3">
      <c r="B56" s="59" t="s">
        <v>182</v>
      </c>
      <c r="C56" s="51"/>
      <c r="D56" s="52"/>
    </row>
    <row r="57" spans="2:4" x14ac:dyDescent="0.3">
      <c r="B57" s="50"/>
      <c r="C57" s="51"/>
      <c r="D57" s="52"/>
    </row>
    <row r="58" spans="2:4" x14ac:dyDescent="0.3">
      <c r="B58" s="50" t="s">
        <v>183</v>
      </c>
      <c r="C58" s="51"/>
      <c r="D58" s="52"/>
    </row>
    <row r="59" spans="2:4" x14ac:dyDescent="0.3">
      <c r="B59" s="50"/>
      <c r="C59" s="51"/>
      <c r="D59" s="52"/>
    </row>
    <row r="60" spans="2:4" x14ac:dyDescent="0.3">
      <c r="B60" s="50" t="s">
        <v>184</v>
      </c>
      <c r="C60" s="51"/>
      <c r="D60" s="52"/>
    </row>
    <row r="61" spans="2:4" ht="28.95" customHeight="1" x14ac:dyDescent="0.3">
      <c r="B61" s="50" t="s">
        <v>193</v>
      </c>
      <c r="C61" s="51"/>
      <c r="D61" s="52"/>
    </row>
    <row r="62" spans="2:4" x14ac:dyDescent="0.3">
      <c r="B62" s="50"/>
      <c r="C62" s="51"/>
      <c r="D62" s="52"/>
    </row>
    <row r="63" spans="2:4" ht="23.55" customHeight="1" x14ac:dyDescent="0.3">
      <c r="B63" s="90" t="s">
        <v>194</v>
      </c>
      <c r="C63" s="91"/>
      <c r="D63" s="92"/>
    </row>
    <row r="64" spans="2:4" x14ac:dyDescent="0.3">
      <c r="B64" s="50"/>
      <c r="C64" s="51"/>
      <c r="D64" s="52"/>
    </row>
    <row r="65" spans="2:4" x14ac:dyDescent="0.3">
      <c r="B65" s="56" t="s">
        <v>173</v>
      </c>
      <c r="C65" s="51"/>
      <c r="D65" s="52"/>
    </row>
    <row r="66" spans="2:4" x14ac:dyDescent="0.3">
      <c r="B66" s="50" t="s">
        <v>195</v>
      </c>
      <c r="C66" s="51"/>
      <c r="D66" s="52"/>
    </row>
    <row r="67" spans="2:4" x14ac:dyDescent="0.3">
      <c r="B67" s="50"/>
      <c r="C67" s="51"/>
      <c r="D67" s="52"/>
    </row>
    <row r="68" spans="2:4" x14ac:dyDescent="0.3">
      <c r="B68" s="56" t="s">
        <v>196</v>
      </c>
      <c r="C68" s="51"/>
      <c r="D68" s="52"/>
    </row>
    <row r="69" spans="2:4" x14ac:dyDescent="0.3">
      <c r="B69" s="56" t="s">
        <v>197</v>
      </c>
      <c r="C69" s="51"/>
      <c r="D69" s="52"/>
    </row>
    <row r="70" spans="2:4" x14ac:dyDescent="0.3">
      <c r="B70" s="56" t="s">
        <v>177</v>
      </c>
      <c r="C70" s="51"/>
      <c r="D70" s="52"/>
    </row>
    <row r="71" spans="2:4" x14ac:dyDescent="0.3">
      <c r="B71" s="56" t="s">
        <v>198</v>
      </c>
      <c r="C71" s="51"/>
      <c r="D71" s="52"/>
    </row>
    <row r="72" spans="2:4" x14ac:dyDescent="0.3">
      <c r="B72" s="50"/>
      <c r="C72" s="51"/>
      <c r="D72" s="52"/>
    </row>
    <row r="73" spans="2:4" ht="17.55" customHeight="1" x14ac:dyDescent="0.3">
      <c r="B73" s="57" t="s">
        <v>179</v>
      </c>
      <c r="C73" s="51"/>
      <c r="D73" s="52"/>
    </row>
    <row r="74" spans="2:4" x14ac:dyDescent="0.3">
      <c r="B74" s="58"/>
      <c r="C74" s="51"/>
      <c r="D74" s="52"/>
    </row>
    <row r="75" spans="2:4" x14ac:dyDescent="0.3">
      <c r="B75" s="59" t="s">
        <v>199</v>
      </c>
      <c r="C75" s="51"/>
      <c r="D75" s="52"/>
    </row>
    <row r="76" spans="2:4" x14ac:dyDescent="0.3">
      <c r="B76" s="58" t="s">
        <v>200</v>
      </c>
      <c r="C76" s="51"/>
      <c r="D76" s="52"/>
    </row>
    <row r="77" spans="2:4" x14ac:dyDescent="0.3">
      <c r="B77" s="58"/>
      <c r="C77" s="51"/>
      <c r="D77" s="52"/>
    </row>
    <row r="78" spans="2:4" x14ac:dyDescent="0.3">
      <c r="B78" s="59" t="s">
        <v>181</v>
      </c>
      <c r="C78" s="51"/>
      <c r="D78" s="52"/>
    </row>
    <row r="79" spans="2:4" x14ac:dyDescent="0.3">
      <c r="B79" s="58"/>
      <c r="C79" s="51"/>
      <c r="D79" s="52"/>
    </row>
    <row r="80" spans="2:4" x14ac:dyDescent="0.3">
      <c r="B80" s="59" t="s">
        <v>192</v>
      </c>
      <c r="C80" s="51"/>
      <c r="D80" s="52"/>
    </row>
    <row r="81" spans="2:4" x14ac:dyDescent="0.3">
      <c r="B81" s="58"/>
      <c r="C81" s="51"/>
      <c r="D81" s="52"/>
    </row>
    <row r="82" spans="2:4" x14ac:dyDescent="0.3">
      <c r="B82" s="59" t="s">
        <v>201</v>
      </c>
      <c r="C82" s="51"/>
      <c r="D82" s="52"/>
    </row>
    <row r="83" spans="2:4" x14ac:dyDescent="0.3">
      <c r="B83" s="58"/>
      <c r="C83" s="51"/>
      <c r="D83" s="52"/>
    </row>
    <row r="84" spans="2:4" x14ac:dyDescent="0.3">
      <c r="B84" s="59" t="s">
        <v>202</v>
      </c>
      <c r="C84" s="51"/>
      <c r="D84" s="52"/>
    </row>
    <row r="85" spans="2:4" x14ac:dyDescent="0.3">
      <c r="B85" s="50"/>
      <c r="C85" s="51"/>
      <c r="D85" s="52"/>
    </row>
    <row r="86" spans="2:4" x14ac:dyDescent="0.3">
      <c r="B86" s="50" t="s">
        <v>203</v>
      </c>
      <c r="C86" s="51"/>
      <c r="D86" s="52"/>
    </row>
    <row r="87" spans="2:4" x14ac:dyDescent="0.3">
      <c r="B87" s="50"/>
      <c r="C87" s="51"/>
      <c r="D87" s="52"/>
    </row>
    <row r="88" spans="2:4" ht="23.55" customHeight="1" x14ac:dyDescent="0.3">
      <c r="B88" s="90" t="s">
        <v>204</v>
      </c>
      <c r="C88" s="91"/>
      <c r="D88" s="92"/>
    </row>
    <row r="89" spans="2:4" x14ac:dyDescent="0.3">
      <c r="B89" s="50"/>
      <c r="C89" s="51"/>
      <c r="D89" s="52"/>
    </row>
    <row r="90" spans="2:4" x14ac:dyDescent="0.3">
      <c r="B90" s="56" t="s">
        <v>173</v>
      </c>
      <c r="C90" s="51"/>
      <c r="D90" s="52"/>
    </row>
    <row r="91" spans="2:4" x14ac:dyDescent="0.3">
      <c r="B91" s="50" t="s">
        <v>205</v>
      </c>
      <c r="C91" s="51"/>
      <c r="D91" s="52"/>
    </row>
    <row r="92" spans="2:4" x14ac:dyDescent="0.3">
      <c r="B92" s="50"/>
      <c r="C92" s="51"/>
      <c r="D92" s="52"/>
    </row>
    <row r="93" spans="2:4" x14ac:dyDescent="0.3">
      <c r="B93" s="56" t="s">
        <v>206</v>
      </c>
      <c r="C93" s="51"/>
      <c r="D93" s="52"/>
    </row>
    <row r="94" spans="2:4" x14ac:dyDescent="0.3">
      <c r="B94" s="56" t="s">
        <v>207</v>
      </c>
      <c r="C94" s="51"/>
      <c r="D94" s="52"/>
    </row>
    <row r="95" spans="2:4" x14ac:dyDescent="0.3">
      <c r="B95" s="56" t="s">
        <v>177</v>
      </c>
      <c r="C95" s="51"/>
      <c r="D95" s="52"/>
    </row>
    <row r="96" spans="2:4" x14ac:dyDescent="0.3">
      <c r="B96" s="56" t="s">
        <v>198</v>
      </c>
      <c r="C96" s="51"/>
      <c r="D96" s="52"/>
    </row>
    <row r="97" spans="2:5" x14ac:dyDescent="0.3">
      <c r="B97" s="50"/>
      <c r="C97" s="51"/>
      <c r="D97" s="52"/>
    </row>
    <row r="98" spans="2:5" ht="17.55" customHeight="1" x14ac:dyDescent="0.3">
      <c r="B98" s="57" t="s">
        <v>179</v>
      </c>
      <c r="C98" s="51"/>
      <c r="D98" s="52"/>
    </row>
    <row r="99" spans="2:5" x14ac:dyDescent="0.3">
      <c r="B99" s="58"/>
      <c r="C99" s="51"/>
      <c r="D99" s="52"/>
    </row>
    <row r="100" spans="2:5" x14ac:dyDescent="0.3">
      <c r="B100" s="59" t="s">
        <v>208</v>
      </c>
      <c r="C100" s="51"/>
      <c r="D100" s="52"/>
    </row>
    <row r="101" spans="2:5" x14ac:dyDescent="0.3">
      <c r="B101" s="58"/>
      <c r="C101" s="51"/>
      <c r="D101" s="52"/>
    </row>
    <row r="102" spans="2:5" x14ac:dyDescent="0.3">
      <c r="B102" s="59" t="s">
        <v>181</v>
      </c>
      <c r="C102" s="51"/>
      <c r="D102" s="52"/>
    </row>
    <row r="103" spans="2:5" x14ac:dyDescent="0.3">
      <c r="B103" s="58"/>
      <c r="C103" s="51"/>
      <c r="D103" s="52"/>
    </row>
    <row r="104" spans="2:5" x14ac:dyDescent="0.3">
      <c r="B104" s="59" t="s">
        <v>202</v>
      </c>
      <c r="C104" s="51"/>
      <c r="D104" s="52"/>
    </row>
    <row r="105" spans="2:5" x14ac:dyDescent="0.3">
      <c r="B105" s="50"/>
      <c r="C105" s="51"/>
      <c r="D105" s="52"/>
    </row>
    <row r="106" spans="2:5" x14ac:dyDescent="0.3">
      <c r="B106" s="50" t="s">
        <v>203</v>
      </c>
      <c r="C106" s="51"/>
      <c r="D106" s="52"/>
    </row>
    <row r="107" spans="2:5" x14ac:dyDescent="0.3">
      <c r="B107" s="50"/>
      <c r="C107" s="51"/>
      <c r="D107" s="52"/>
      <c r="E107" s="60"/>
    </row>
    <row r="108" spans="2:5" ht="23.55" customHeight="1" x14ac:dyDescent="0.3">
      <c r="B108" s="90" t="s">
        <v>209</v>
      </c>
      <c r="C108" s="91"/>
      <c r="D108" s="92"/>
      <c r="E108" s="60"/>
    </row>
    <row r="109" spans="2:5" x14ac:dyDescent="0.3">
      <c r="B109" s="50"/>
      <c r="C109" s="51"/>
      <c r="D109" s="52"/>
      <c r="E109" s="60"/>
    </row>
    <row r="110" spans="2:5" x14ac:dyDescent="0.3">
      <c r="B110" s="56" t="s">
        <v>173</v>
      </c>
      <c r="C110" s="51"/>
      <c r="D110" s="52"/>
      <c r="E110" s="60"/>
    </row>
    <row r="111" spans="2:5" x14ac:dyDescent="0.3">
      <c r="B111" s="50" t="s">
        <v>210</v>
      </c>
      <c r="C111" s="51"/>
      <c r="D111" s="52"/>
      <c r="E111" s="60"/>
    </row>
    <row r="112" spans="2:5" x14ac:dyDescent="0.3">
      <c r="B112" s="50"/>
      <c r="C112" s="51"/>
      <c r="D112" s="52"/>
    </row>
    <row r="113" spans="2:4" x14ac:dyDescent="0.3">
      <c r="B113" s="56" t="s">
        <v>211</v>
      </c>
      <c r="C113" s="51"/>
      <c r="D113" s="52"/>
    </row>
    <row r="114" spans="2:4" x14ac:dyDescent="0.3">
      <c r="B114" s="56" t="s">
        <v>207</v>
      </c>
      <c r="C114" s="51"/>
      <c r="D114" s="52"/>
    </row>
    <row r="115" spans="2:4" x14ac:dyDescent="0.3">
      <c r="B115" s="56" t="s">
        <v>177</v>
      </c>
      <c r="C115" s="51"/>
      <c r="D115" s="52"/>
    </row>
    <row r="116" spans="2:4" x14ac:dyDescent="0.3">
      <c r="B116" s="56" t="s">
        <v>198</v>
      </c>
      <c r="C116" s="51"/>
      <c r="D116" s="52"/>
    </row>
    <row r="117" spans="2:4" x14ac:dyDescent="0.3">
      <c r="B117" s="50"/>
      <c r="C117" s="51"/>
      <c r="D117" s="52"/>
    </row>
    <row r="118" spans="2:4" ht="17.55" customHeight="1" x14ac:dyDescent="0.3">
      <c r="B118" s="57" t="s">
        <v>179</v>
      </c>
      <c r="C118" s="51"/>
      <c r="D118" s="52"/>
    </row>
    <row r="119" spans="2:4" x14ac:dyDescent="0.3">
      <c r="B119" s="58"/>
      <c r="C119" s="51"/>
      <c r="D119" s="52"/>
    </row>
    <row r="120" spans="2:4" x14ac:dyDescent="0.3">
      <c r="B120" s="59" t="s">
        <v>212</v>
      </c>
      <c r="C120" s="51"/>
      <c r="D120" s="52"/>
    </row>
    <row r="121" spans="2:4" x14ac:dyDescent="0.3">
      <c r="B121" s="58"/>
      <c r="C121" s="51"/>
      <c r="D121" s="52"/>
    </row>
    <row r="122" spans="2:4" x14ac:dyDescent="0.3">
      <c r="B122" s="59" t="s">
        <v>181</v>
      </c>
      <c r="C122" s="51"/>
      <c r="D122" s="52"/>
    </row>
    <row r="123" spans="2:4" x14ac:dyDescent="0.3">
      <c r="B123" s="58"/>
      <c r="C123" s="51"/>
      <c r="D123" s="52"/>
    </row>
    <row r="124" spans="2:4" x14ac:dyDescent="0.3">
      <c r="B124" s="59" t="s">
        <v>202</v>
      </c>
      <c r="C124" s="51"/>
      <c r="D124" s="52"/>
    </row>
    <row r="125" spans="2:4" x14ac:dyDescent="0.3">
      <c r="B125" s="50"/>
      <c r="C125" s="51"/>
      <c r="D125" s="52"/>
    </row>
    <row r="126" spans="2:4" x14ac:dyDescent="0.3">
      <c r="B126" s="50" t="s">
        <v>203</v>
      </c>
      <c r="C126" s="51"/>
      <c r="D126" s="52"/>
    </row>
    <row r="127" spans="2:4" x14ac:dyDescent="0.3">
      <c r="B127" s="50"/>
      <c r="C127" s="51"/>
      <c r="D127" s="52"/>
    </row>
    <row r="128" spans="2:4" ht="23.55" customHeight="1" x14ac:dyDescent="0.3">
      <c r="B128" s="90" t="s">
        <v>213</v>
      </c>
      <c r="C128" s="91"/>
      <c r="D128" s="92"/>
    </row>
    <row r="129" spans="2:4" x14ac:dyDescent="0.3">
      <c r="B129" s="50"/>
      <c r="C129" s="51"/>
      <c r="D129" s="52"/>
    </row>
    <row r="130" spans="2:4" x14ac:dyDescent="0.3">
      <c r="B130" s="56" t="s">
        <v>173</v>
      </c>
      <c r="C130" s="51"/>
      <c r="D130" s="52"/>
    </row>
    <row r="131" spans="2:4" ht="28.95" customHeight="1" x14ac:dyDescent="0.3">
      <c r="B131" s="50" t="s">
        <v>214</v>
      </c>
      <c r="C131" s="51"/>
      <c r="D131" s="52"/>
    </row>
    <row r="132" spans="2:4" x14ac:dyDescent="0.3">
      <c r="B132" s="50"/>
      <c r="C132" s="51"/>
      <c r="D132" s="52"/>
    </row>
    <row r="133" spans="2:4" x14ac:dyDescent="0.3">
      <c r="B133" s="56" t="s">
        <v>215</v>
      </c>
      <c r="C133" s="51"/>
      <c r="D133" s="52"/>
    </row>
    <row r="134" spans="2:4" x14ac:dyDescent="0.3">
      <c r="B134" s="56" t="s">
        <v>216</v>
      </c>
      <c r="C134" s="51"/>
      <c r="D134" s="52"/>
    </row>
    <row r="135" spans="2:4" x14ac:dyDescent="0.3">
      <c r="B135" s="56" t="s">
        <v>217</v>
      </c>
      <c r="C135" s="51"/>
      <c r="D135" s="52"/>
    </row>
    <row r="136" spans="2:4" x14ac:dyDescent="0.3">
      <c r="B136" s="56" t="s">
        <v>198</v>
      </c>
      <c r="C136" s="51"/>
      <c r="D136" s="52"/>
    </row>
    <row r="137" spans="2:4" x14ac:dyDescent="0.3">
      <c r="B137" s="50"/>
      <c r="C137" s="51"/>
      <c r="D137" s="52"/>
    </row>
    <row r="138" spans="2:4" ht="17.55" customHeight="1" x14ac:dyDescent="0.3">
      <c r="B138" s="57" t="s">
        <v>179</v>
      </c>
      <c r="C138" s="51"/>
      <c r="D138" s="52"/>
    </row>
    <row r="139" spans="2:4" x14ac:dyDescent="0.3">
      <c r="B139" s="58"/>
      <c r="C139" s="51"/>
      <c r="D139" s="52"/>
    </row>
    <row r="140" spans="2:4" x14ac:dyDescent="0.3">
      <c r="B140" s="59" t="s">
        <v>218</v>
      </c>
      <c r="C140" s="51"/>
      <c r="D140" s="52"/>
    </row>
    <row r="141" spans="2:4" x14ac:dyDescent="0.3">
      <c r="B141" s="58" t="s">
        <v>219</v>
      </c>
      <c r="C141" s="51"/>
      <c r="D141" s="52"/>
    </row>
    <row r="142" spans="2:4" x14ac:dyDescent="0.3">
      <c r="B142" s="58"/>
      <c r="C142" s="51"/>
      <c r="D142" s="52"/>
    </row>
    <row r="143" spans="2:4" x14ac:dyDescent="0.3">
      <c r="B143" s="58" t="s">
        <v>220</v>
      </c>
      <c r="C143" s="51"/>
      <c r="D143" s="52"/>
    </row>
    <row r="144" spans="2:4" x14ac:dyDescent="0.3">
      <c r="B144" s="58"/>
      <c r="C144" s="51"/>
      <c r="D144" s="52"/>
    </row>
    <row r="145" spans="2:4" x14ac:dyDescent="0.3">
      <c r="B145" s="58" t="s">
        <v>221</v>
      </c>
      <c r="C145" s="51"/>
      <c r="D145" s="52"/>
    </row>
    <row r="146" spans="2:4" x14ac:dyDescent="0.3">
      <c r="B146" s="58"/>
      <c r="C146" s="51"/>
      <c r="D146" s="52"/>
    </row>
    <row r="147" spans="2:4" x14ac:dyDescent="0.3">
      <c r="B147" s="58" t="s">
        <v>222</v>
      </c>
      <c r="C147" s="51"/>
      <c r="D147" s="52"/>
    </row>
    <row r="148" spans="2:4" x14ac:dyDescent="0.3">
      <c r="B148" s="58"/>
      <c r="C148" s="51"/>
      <c r="D148" s="52"/>
    </row>
    <row r="149" spans="2:4" x14ac:dyDescent="0.3">
      <c r="B149" s="58" t="s">
        <v>223</v>
      </c>
      <c r="C149" s="51"/>
      <c r="D149" s="52"/>
    </row>
    <row r="150" spans="2:4" x14ac:dyDescent="0.3">
      <c r="B150" s="58"/>
      <c r="C150" s="51"/>
      <c r="D150" s="52"/>
    </row>
    <row r="151" spans="2:4" x14ac:dyDescent="0.3">
      <c r="B151" s="59" t="s">
        <v>224</v>
      </c>
      <c r="C151" s="51"/>
      <c r="D151" s="52"/>
    </row>
    <row r="152" spans="2:4" x14ac:dyDescent="0.3">
      <c r="B152" s="58"/>
      <c r="C152" s="51"/>
      <c r="D152" s="52"/>
    </row>
    <row r="153" spans="2:4" x14ac:dyDescent="0.3">
      <c r="B153" s="59" t="s">
        <v>202</v>
      </c>
      <c r="C153" s="51"/>
      <c r="D153" s="52"/>
    </row>
    <row r="154" spans="2:4" x14ac:dyDescent="0.3">
      <c r="B154" s="50"/>
      <c r="C154" s="51"/>
      <c r="D154" s="52"/>
    </row>
    <row r="155" spans="2:4" x14ac:dyDescent="0.3">
      <c r="B155" s="50" t="s">
        <v>203</v>
      </c>
      <c r="C155" s="51"/>
      <c r="D155" s="52"/>
    </row>
    <row r="156" spans="2:4" x14ac:dyDescent="0.3">
      <c r="B156" s="50"/>
      <c r="C156" s="51"/>
      <c r="D156" s="52"/>
    </row>
    <row r="157" spans="2:4" x14ac:dyDescent="0.3">
      <c r="B157" s="50" t="s">
        <v>184</v>
      </c>
      <c r="C157" s="51"/>
      <c r="D157" s="52"/>
    </row>
    <row r="158" spans="2:4" ht="28.95" customHeight="1" x14ac:dyDescent="0.3">
      <c r="B158" s="50" t="s">
        <v>225</v>
      </c>
      <c r="C158" s="51"/>
      <c r="D158" s="52"/>
    </row>
    <row r="159" spans="2:4" x14ac:dyDescent="0.3">
      <c r="B159" s="50"/>
      <c r="C159" s="51"/>
      <c r="D159" s="52"/>
    </row>
    <row r="160" spans="2:4" ht="23.55" customHeight="1" x14ac:dyDescent="0.3">
      <c r="B160" s="90" t="s">
        <v>226</v>
      </c>
      <c r="C160" s="91"/>
      <c r="D160" s="92"/>
    </row>
    <row r="161" spans="2:4" x14ac:dyDescent="0.3">
      <c r="B161" s="50"/>
      <c r="C161" s="51"/>
      <c r="D161" s="52"/>
    </row>
    <row r="162" spans="2:4" x14ac:dyDescent="0.3">
      <c r="B162" s="53" t="s">
        <v>28</v>
      </c>
      <c r="C162" s="15" t="s">
        <v>227</v>
      </c>
      <c r="D162" s="61" t="s">
        <v>228</v>
      </c>
    </row>
    <row r="163" spans="2:4" x14ac:dyDescent="0.3">
      <c r="B163" s="62" t="s">
        <v>63</v>
      </c>
      <c r="C163" s="55" t="s">
        <v>56</v>
      </c>
      <c r="D163" s="63" t="s">
        <v>56</v>
      </c>
    </row>
    <row r="164" spans="2:4" x14ac:dyDescent="0.3">
      <c r="B164" s="62" t="s">
        <v>77</v>
      </c>
      <c r="C164" s="55" t="s">
        <v>56</v>
      </c>
      <c r="D164" s="63" t="s">
        <v>103</v>
      </c>
    </row>
    <row r="165" spans="2:4" x14ac:dyDescent="0.3">
      <c r="B165" s="62" t="s">
        <v>65</v>
      </c>
      <c r="C165" s="55" t="s">
        <v>56</v>
      </c>
      <c r="D165" s="63" t="s">
        <v>103</v>
      </c>
    </row>
    <row r="166" spans="2:4" x14ac:dyDescent="0.3">
      <c r="B166" s="62" t="s">
        <v>55</v>
      </c>
      <c r="C166" s="55" t="s">
        <v>56</v>
      </c>
      <c r="D166" s="63" t="s">
        <v>103</v>
      </c>
    </row>
    <row r="167" spans="2:4" x14ac:dyDescent="0.3">
      <c r="B167" s="62" t="s">
        <v>59</v>
      </c>
      <c r="C167" s="55" t="s">
        <v>56</v>
      </c>
      <c r="D167" s="63" t="s">
        <v>103</v>
      </c>
    </row>
    <row r="168" spans="2:4" x14ac:dyDescent="0.3">
      <c r="B168" s="62" t="s">
        <v>89</v>
      </c>
      <c r="C168" s="55" t="s">
        <v>103</v>
      </c>
      <c r="D168" s="63" t="s">
        <v>103</v>
      </c>
    </row>
    <row r="169" spans="2:4" x14ac:dyDescent="0.3">
      <c r="B169" s="50"/>
      <c r="C169" s="51"/>
      <c r="D169" s="52"/>
    </row>
    <row r="170" spans="2:4" ht="23.55" customHeight="1" x14ac:dyDescent="0.3">
      <c r="B170" s="90" t="s">
        <v>229</v>
      </c>
      <c r="C170" s="91"/>
      <c r="D170" s="92"/>
    </row>
    <row r="171" spans="2:4" x14ac:dyDescent="0.3">
      <c r="B171" s="50"/>
      <c r="C171" s="51"/>
      <c r="D171" s="52"/>
    </row>
    <row r="172" spans="2:4" x14ac:dyDescent="0.3">
      <c r="B172" s="50" t="s">
        <v>230</v>
      </c>
      <c r="C172" s="51"/>
      <c r="D172" s="52"/>
    </row>
    <row r="173" spans="2:4" x14ac:dyDescent="0.3">
      <c r="B173" s="50" t="s">
        <v>231</v>
      </c>
      <c r="C173" s="51"/>
      <c r="D173" s="52"/>
    </row>
    <row r="174" spans="2:4" x14ac:dyDescent="0.3">
      <c r="B174" s="50" t="s">
        <v>232</v>
      </c>
      <c r="C174" s="51"/>
      <c r="D174" s="52"/>
    </row>
    <row r="175" spans="2:4" x14ac:dyDescent="0.3">
      <c r="B175" s="50" t="s">
        <v>233</v>
      </c>
      <c r="C175" s="51"/>
      <c r="D175" s="52"/>
    </row>
    <row r="176" spans="2:4" x14ac:dyDescent="0.3">
      <c r="B176" s="50" t="s">
        <v>234</v>
      </c>
      <c r="C176" s="51"/>
      <c r="D176" s="52"/>
    </row>
    <row r="177" spans="2:4" x14ac:dyDescent="0.3">
      <c r="B177" s="50" t="s">
        <v>235</v>
      </c>
      <c r="C177" s="51"/>
      <c r="D177" s="52"/>
    </row>
    <row r="178" spans="2:4" ht="15" customHeight="1" thickBot="1" x14ac:dyDescent="0.35">
      <c r="B178" s="64"/>
      <c r="C178" s="65"/>
      <c r="D178" s="66"/>
    </row>
  </sheetData>
  <mergeCells count="11">
    <mergeCell ref="B63:D63"/>
    <mergeCell ref="B2:D2"/>
    <mergeCell ref="B4:D4"/>
    <mergeCell ref="B7:D7"/>
    <mergeCell ref="B17:D17"/>
    <mergeCell ref="B40:D40"/>
    <mergeCell ref="B88:D88"/>
    <mergeCell ref="B108:D108"/>
    <mergeCell ref="B128:D128"/>
    <mergeCell ref="B160:D160"/>
    <mergeCell ref="B170:D17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Jan 26-Payroll</vt:lpstr>
      <vt:lpstr>ctc</vt:lpstr>
      <vt:lpstr>Parameters</vt:lpstr>
      <vt:lpstr>compliance rules</vt:lpstr>
      <vt:lpstr>pay matrix</vt:lpstr>
      <vt:lpstr>ATTENDANCE_BONUS</vt:lpstr>
      <vt:lpstr>BASIC_CAP</vt:lpstr>
      <vt:lpstr>BASIC_INCREMENT_RATE</vt:lpstr>
      <vt:lpstr>BASIC_MIN_WAGE_CUTOFF</vt:lpstr>
      <vt:lpstr>BONUS_LIMIT</vt:lpstr>
      <vt:lpstr>ESIC_EMP_RATE</vt:lpstr>
      <vt:lpstr>ESIC_EMPR_RATE</vt:lpstr>
      <vt:lpstr>ESIC_LIMIT</vt:lpstr>
      <vt:lpstr>PF_EMP_RATE</vt:lpstr>
      <vt:lpstr>PF_EMPR_RATE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StatCo Solutions</cp:lastModifiedBy>
  <dcterms:created xsi:type="dcterms:W3CDTF">2026-01-30T05:33:09Z</dcterms:created>
  <dcterms:modified xsi:type="dcterms:W3CDTF">2026-02-06T00:24:46Z</dcterms:modified>
</cp:coreProperties>
</file>